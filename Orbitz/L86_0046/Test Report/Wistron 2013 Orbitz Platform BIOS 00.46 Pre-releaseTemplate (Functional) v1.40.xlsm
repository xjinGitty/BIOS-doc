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0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SVTMatrix"/>
  <workbookProtection workbookPassword="ABA7" lockStructure="1"/>
  <bookViews>
    <workbookView xWindow="2625" yWindow="1845" windowWidth="12765" windowHeight="2715" tabRatio="545" activeTab="4"/>
  </bookViews>
  <sheets>
    <sheet name="ProjectSettings" sheetId="1" r:id="rId1"/>
    <sheet name="ProjectConfigurations" sheetId="2" state="hidden" r:id="rId2"/>
    <sheet name="Guidelines" sheetId="16" state="hidden" r:id="rId3"/>
    <sheet name="ProjectSummary" sheetId="4" r:id="rId4"/>
    <sheet name="Release" sheetId="17" r:id="rId5"/>
    <sheet name="Acceptance (3 days)" sheetId="18" r:id="rId6"/>
    <sheet name="Full" sheetId="19" r:id="rId7"/>
    <sheet name="TT_DBConfigurations" sheetId="13" state="veryHidden" r:id="rId8"/>
    <sheet name="Core" sheetId="20" r:id="rId9"/>
    <sheet name="Official Signed Bios" sheetId="24" r:id="rId10"/>
  </sheets>
  <functionGroups builtInGroupCount="17"/>
  <definedNames>
    <definedName name="_Toc357779360" localSheetId="5">'Acceptance (3 days)'!$C$113</definedName>
    <definedName name="_Toc357779617" localSheetId="4">Release!$C$181</definedName>
    <definedName name="CFG_1394_">ProjectConfigurations!$AI$3:$AI$8</definedName>
    <definedName name="CFG_32Bit_Os">ProjectConfigurations!$X$3:$X$20</definedName>
    <definedName name="CFG_3D_Applications_">ProjectConfigurations!$BI$3:$BI$4</definedName>
    <definedName name="CFG_64Bit_Os">ProjectConfigurations!$Y$3:$Y$16</definedName>
    <definedName name="CFG_Bluetooth_Module">ProjectConfigurations!$Z$3:$Z$19</definedName>
    <definedName name="CFG_Branding">ProjectConfigurations!$AA$3:$AA$20</definedName>
    <definedName name="CFG_Bt_">ProjectConfigurations!$AH$3:$AH$11</definedName>
    <definedName name="CFG_Camera_">ProjectConfigurations!$BU$3:$BU$8</definedName>
    <definedName name="CFG_Camera_Vendor_">ProjectConfigurations!$C$3:$C$8</definedName>
    <definedName name="CFG_Connection_Type_">ProjectConfigurations!$AB$3:$AB$6</definedName>
    <definedName name="CFG_Country">ProjectConfigurations!$AC$3:$AC$63</definedName>
    <definedName name="CFG_Country_Code">ProjectConfigurations!$AD$3:$AD$54</definedName>
    <definedName name="CFG_Cradle_Multibay_Device_">ProjectConfigurations!$B$3:$B$15</definedName>
    <definedName name="CFG_Cradle_Type_">ProjectConfigurations!$D$3:$D$7</definedName>
    <definedName name="CFG_Dash_Code">ProjectConfigurations!$AE$3:$AE$48</definedName>
    <definedName name="CFG_Deep_Sleep">ProjectConfigurations!$CI$3:$CI$5</definedName>
    <definedName name="CFG_Device_List_">ProjectConfigurations!$AG$3:$AG$72</definedName>
    <definedName name="CFG_Display_Panel_">ProjectConfigurations!$E$3:$E$173</definedName>
    <definedName name="CFG_Dock_Bay_Device_">ProjectConfigurations!$G$3:$G$198</definedName>
    <definedName name="CFG_Dock_Type_">ProjectConfigurations!$F$3:$F$21</definedName>
    <definedName name="CFG_Environment">TT_DBConfigurations!$K$2:$K$29</definedName>
    <definedName name="CFG_Error_Type">ProjectConfigurations!$CC$3:$CC$19</definedName>
    <definedName name="CFG_Expresscard_">ProjectConfigurations!$AK$3:$AK$12</definedName>
    <definedName name="CFG_External_Display_">ProjectConfigurations!$AM$3:$AM$49</definedName>
    <definedName name="CFG_Fingerprint_Reader">ProjectConfigurations!$AN$3:$AN$4</definedName>
    <definedName name="CFG_Flash_Cache">ProjectConfigurations!$CH$3:$CH$9</definedName>
    <definedName name="CFG_Flash_Media_">ProjectConfigurations!$AL$3:$AL$49</definedName>
    <definedName name="CFG_Graphics">ProjectConfigurations!$H$3:$H$62</definedName>
    <definedName name="CFG_Hard_Drive_">ProjectConfigurations!$I$3:$I$166</definedName>
    <definedName name="CFG_Hp_Accessory">ProjectConfigurations!$K$3:$K$25</definedName>
    <definedName name="CFG_Hp_Code">ProjectConfigurations!$AF$3:$AF$57</definedName>
    <definedName name="CFG_Image_Number">ProjectConfigurations!$AO$3:$AO$11</definedName>
    <definedName name="CFG_Image_Region">ProjectConfigurations!$AP$3:$AP$14</definedName>
    <definedName name="CFG_Image_Revision">ProjectConfigurations!$AQ$3:$AQ$47</definedName>
    <definedName name="CFG_Kbc_">ProjectConfigurations!$AR$3:$AR$8</definedName>
    <definedName name="CFG_Keyboard">ProjectConfigurations!$L$3:$L$5</definedName>
    <definedName name="CFG_Language">TT_DBConfigurations!$F$2:$F$35</definedName>
    <definedName name="CFG_Language_Code">ProjectConfigurations!$AS$3:$AS$49</definedName>
    <definedName name="CFG_Material_List_Number_">ProjectConfigurations!$BD$3</definedName>
    <definedName name="CFG_Me_Version_">ProjectConfigurations!$CB$3:$CB$4</definedName>
    <definedName name="CFG_Media_Player_">ProjectConfigurations!$AT$3:$AT$9</definedName>
    <definedName name="CFG_Media_Type_">ProjectConfigurations!$AU$3:$AU$16</definedName>
    <definedName name="CFG_Memory_Slot_1_">ProjectConfigurations!$M$3:$M$152</definedName>
    <definedName name="CFG_Memory_Slot_2_">ProjectConfigurations!$N$3:$N$151</definedName>
    <definedName name="CFG_Memory_Slot_3_">ProjectConfigurations!$O$3:$O$151</definedName>
    <definedName name="CFG_Memory_Slot_4_">ProjectConfigurations!$P$3:$P$151</definedName>
    <definedName name="CFG_Modem">ProjectConfigurations!$Q$3:$Q$7</definedName>
    <definedName name="CFG_Multi_Display_Configuration">ProjectConfigurations!$CG$3:$CG$12</definedName>
    <definedName name="CFG_Os_Service_Pack">ProjectConfigurations!$AV$3:$AV$7</definedName>
    <definedName name="CFG_Pcmcia_">ProjectConfigurations!$AW$3:$AW$7</definedName>
    <definedName name="CFG_Platform">ProjectConfigurations!$AX$3:$AX$132</definedName>
    <definedName name="CFG_Platform_Phase">ProjectConfigurations!$AY$3:$AY$14</definedName>
    <definedName name="CFG_Power_Scheme">ProjectConfigurations!$AZ$3:$AZ$12</definedName>
    <definedName name="CFG_Processor_">ProjectConfigurations!$R$3:$R$146</definedName>
    <definedName name="CFG_Raid">ProjectConfigurations!$BA$3:$BA$8</definedName>
    <definedName name="CFG_Rev_9.0A">ProjectConfigurations!$A$3</definedName>
    <definedName name="CFG_Sata_Device_Mode">ProjectConfigurations!$BB$3:$BB$5</definedName>
    <definedName name="CFG_Screen_Saver">ProjectConfigurations!$BC$3:$BC$15</definedName>
    <definedName name="CFG_Sed_Encryption_Status">ProjectConfigurations!$J$3:$J$5</definedName>
    <definedName name="CFG_Sku_Number_">ProjectConfigurations!$BE$3</definedName>
    <definedName name="CFG_Software">ProjectConfigurations!$BG$3:$BG$12</definedName>
    <definedName name="CFG_Software_List_">ProjectConfigurations!$BH$3:$BH$39</definedName>
    <definedName name="CFG_Switchable_Graphic_Mode">ProjectConfigurations!$BZ$3:$BZ$8</definedName>
    <definedName name="CFG_System_Bios_">ProjectConfigurations!$BJ$3:$BJ$87</definedName>
    <definedName name="CFG_System_Board">ProjectConfigurations!$S$3:$S$34</definedName>
    <definedName name="CFG_Test_Case">ProjectConfigurations!$CE$3:$CE$9</definedName>
    <definedName name="CFG_Test_Tool">ProjectConfigurations!$CD$3:$CD$5</definedName>
    <definedName name="CFG_Tier">ProjectConfigurations!$BK$3:$BK$12</definedName>
    <definedName name="CFG_Touchpad_Pointstick_Combo">ProjectConfigurations!$BM$3:$BM$12</definedName>
    <definedName name="CFG_Tpm">ProjectConfigurations!$BL$3:$BL$5</definedName>
    <definedName name="CFG_Tpm_Enabled">ProjectConfigurations!$BW$3:$BW$4</definedName>
    <definedName name="CFG_Travel_Battery_">ProjectConfigurations!$T$3:$T$14</definedName>
    <definedName name="CFG_Txt">ProjectConfigurations!$BY$3:$BY$4</definedName>
    <definedName name="CFG_Unit_Battery_">ProjectConfigurations!$U$3:$U$92</definedName>
    <definedName name="CFG_Unit_Id_">ProjectConfigurations!$BN$3</definedName>
    <definedName name="CFG_Unit_Upgrade_Bay_Device_">ProjectConfigurations!$V$3:$V$198</definedName>
    <definedName name="CFG_Usb_Devices_">ProjectConfigurations!$AJ$3:$AJ$60</definedName>
    <definedName name="CFG_UserLabel_">TT_DBConfigurations!$V$201</definedName>
    <definedName name="CFG_Video_Architecture">ProjectConfigurations!$BO$3:$BO$4</definedName>
    <definedName name="CFG_Vpro_">ProjectConfigurations!$BV$3:$BV$6</definedName>
    <definedName name="CFG_Vram">ProjectConfigurations!$BP$3:$BP$24</definedName>
    <definedName name="CFG_Vt">ProjectConfigurations!$BX$3:$BX$4</definedName>
    <definedName name="CFG_W.L.K._Version">ProjectConfigurations!$CA$3:$CA$8</definedName>
    <definedName name="CFG_Website_">ProjectConfigurations!$BQ$3:$BQ$11</definedName>
    <definedName name="CFG_Wired_Nic">ProjectConfigurations!$BR$3:$BR$23</definedName>
    <definedName name="CFG_Wireless_Lan_">ProjectConfigurations!$BS$3:$BS$50</definedName>
    <definedName name="CFG_Wireless_Lan_Status">ProjectConfigurations!$CF$3:$CF$93</definedName>
    <definedName name="CFG_Wireless_Wan_">ProjectConfigurations!$BT$3:$BT$21</definedName>
    <definedName name="Const_ACDC">TT_DBConfigurations!$M$14:$M$15</definedName>
    <definedName name="Const_EnableDisable">TT_DBConfigurations!$M$10:$M$11</definedName>
    <definedName name="Const_OnOff">TT_DBConfigurations!$M$18:$M$19</definedName>
    <definedName name="Const_YesNo">TT_DBConfigurations!$M$6:$M$7</definedName>
    <definedName name="Global_Config_AllSheets">TT_DBConfigurations!$O$42</definedName>
    <definedName name="Global_Config_DelFocusOnNew">TT_DBConfigurations!$O$27</definedName>
    <definedName name="Global_Config_NewCfgPermission">TT_DBConfigurations!$O$36</definedName>
    <definedName name="Global_Config_NewCyclePermission">TT_DBConfigurations!$O$39</definedName>
    <definedName name="Global_Config_SubMatrix">TT_DBConfigurations!$O$45</definedName>
    <definedName name="Global_Cycle_Configurations">TT_DBConfigurations!$O$6</definedName>
    <definedName name="Global_Cycle_Results">TT_DBConfigurations!$O$9</definedName>
    <definedName name="Global_Environments">TT_DBConfigurations!$G$2:$H$81</definedName>
    <definedName name="Global_Languages">TT_DBConfigurations!$B$2:$C$36</definedName>
    <definedName name="Global_Matrix_Mode">TT_DBConfigurations!$O$3</definedName>
    <definedName name="Global_TestInfo_Lock">TT_DBConfigurations!$O$24</definedName>
    <definedName name="Global_TestInfo_Planned">TT_DBConfigurations!$O$33</definedName>
    <definedName name="Global_TestResults_Consolidation">TT_DBConfigurations!$O$15</definedName>
    <definedName name="Global_TestResults_ConsolidationBG">TT_DBConfigurations!$O$18</definedName>
    <definedName name="Global_TestResults_Count">TT_DBConfigurations!$O$30</definedName>
    <definedName name="Global_TestResults_EntryPermission">TT_DBConfigurations!$O$12</definedName>
    <definedName name="Global_TestResults_Rollups">TT_DBConfigurations!$O$21</definedName>
    <definedName name="Platform_Name">ProjectSettings!$E$49</definedName>
    <definedName name="_xlnm.Print_Titles" localSheetId="3">ProjectSummary!$C:$C,ProjectSummary!$4:$4</definedName>
    <definedName name="Project_Dates">ProjectSummary!$C$32:$E$34</definedName>
    <definedName name="Project_Default_Environment">ProjectSettings!$E$5</definedName>
    <definedName name="Project_Default_Language">ProjectSettings!$E$6</definedName>
    <definedName name="Project_Name">ProjectSettings!$E$3</definedName>
    <definedName name="Project_Phase">ProjectSettings!$E$4</definedName>
    <definedName name="Project_Phase_Selection">TT_DBConfigurations!$L$2:$L$16</definedName>
    <definedName name="Project_Type">ProjectSettings!$E$48</definedName>
    <definedName name="Project_Type_Selection">TT_DBConfigurations!$M$2:$M$3</definedName>
    <definedName name="Test_Group">ProjectSettings!$E$2</definedName>
    <definedName name="Testplan_Type">ProjectSettings!$E$50</definedName>
    <definedName name="Testplan_Type_Selection">TT_DBConfigurations!$N$2:$N$21</definedName>
    <definedName name="Testplan_Type_Version">ProjectSettings!$E$51</definedName>
    <definedName name="Z_4ECC98B7_8F7E_48B2_BF78_0C8168954CF5_.wvu.Cols" localSheetId="5" hidden="1">'Acceptance (3 days)'!$A:$A,'Acceptance (3 days)'!$H:$H</definedName>
    <definedName name="Z_4ECC98B7_8F7E_48B2_BF78_0C8168954CF5_.wvu.Cols" localSheetId="8" hidden="1">Core!$A:$A,Core!$H:$H</definedName>
    <definedName name="Z_4ECC98B7_8F7E_48B2_BF78_0C8168954CF5_.wvu.Cols" localSheetId="6" hidden="1">Full!$A:$A,Full!$H:$H</definedName>
    <definedName name="Z_4ECC98B7_8F7E_48B2_BF78_0C8168954CF5_.wvu.Cols" localSheetId="9" hidden="1">'Official Signed Bios'!$A:$A,'Official Signed Bios'!$H:$H</definedName>
    <definedName name="Z_4ECC98B7_8F7E_48B2_BF78_0C8168954CF5_.wvu.Cols" localSheetId="0" hidden="1">ProjectSettings!$A:$A</definedName>
    <definedName name="Z_4ECC98B7_8F7E_48B2_BF78_0C8168954CF5_.wvu.Cols" localSheetId="3" hidden="1">ProjectSummary!$A:$A</definedName>
    <definedName name="Z_4ECC98B7_8F7E_48B2_BF78_0C8168954CF5_.wvu.Cols" localSheetId="4" hidden="1">Release!$A:$A,Release!$H:$H</definedName>
    <definedName name="Z_4ECC98B7_8F7E_48B2_BF78_0C8168954CF5_.wvu.Cols" localSheetId="7" hidden="1">TT_DBConfigurations!$A:$M,TT_DBConfigurations!$O:$U</definedName>
    <definedName name="Z_4ECC98B7_8F7E_48B2_BF78_0C8168954CF5_.wvu.PrintTitles" localSheetId="3" hidden="1">ProjectSummary!$C:$C,ProjectSummary!$4:$4</definedName>
    <definedName name="Z_4ECC98B7_8F7E_48B2_BF78_0C8168954CF5_.wvu.Rows" localSheetId="5" hidden="1">'Acceptance (3 days)'!$1:$1,'Acceptance (3 days)'!$36:$36</definedName>
    <definedName name="Z_4ECC98B7_8F7E_48B2_BF78_0C8168954CF5_.wvu.Rows" localSheetId="8" hidden="1">Core!$1:$1,Core!#REF!</definedName>
    <definedName name="Z_4ECC98B7_8F7E_48B2_BF78_0C8168954CF5_.wvu.Rows" localSheetId="6" hidden="1">Full!$1:$1,Full!#REF!</definedName>
    <definedName name="Z_4ECC98B7_8F7E_48B2_BF78_0C8168954CF5_.wvu.Rows" localSheetId="9" hidden="1">'Official Signed Bios'!$1:$1,'Official Signed Bios'!#REF!</definedName>
    <definedName name="Z_4ECC98B7_8F7E_48B2_BF78_0C8168954CF5_.wvu.Rows" localSheetId="0" hidden="1">ProjectSettings!$16:$79,ProjectSettings!$81:$98</definedName>
    <definedName name="Z_4ECC98B7_8F7E_48B2_BF78_0C8168954CF5_.wvu.Rows" localSheetId="3" hidden="1">ProjectSummary!$1:$1</definedName>
    <definedName name="Z_4ECC98B7_8F7E_48B2_BF78_0C8168954CF5_.wvu.Rows" localSheetId="4" hidden="1">Release!$1:$1,Release!#REF!</definedName>
    <definedName name="Z_4ECC98B7_8F7E_48B2_BF78_0C8168954CF5_.wvu.Rows" localSheetId="7" hidden="1">TT_DBConfigurations!$31:$199</definedName>
  </definedNames>
  <calcPr calcId="145621" calcMode="manual" calcOnSave="0"/>
  <customWorkbookViews>
    <customWorkbookView name="Rolando Caparas - Personal View" guid="{4ECC98B7-8F7E-48B2-BF78-0C8168954CF5}" mergeInterval="0" personalView="1" maximized="1" windowWidth="1596" windowHeight="1001" tabRatio="545" activeSheetId="5"/>
  </customWorkbookViews>
</workbook>
</file>

<file path=xl/calcChain.xml><?xml version="1.0" encoding="utf-8"?>
<calcChain xmlns="http://schemas.openxmlformats.org/spreadsheetml/2006/main">
  <c r="G176" i="20" l="1"/>
  <c r="G179" i="20"/>
  <c r="G180" i="20"/>
  <c r="G177" i="20"/>
  <c r="G181" i="20"/>
  <c r="G184" i="20"/>
  <c r="G175" i="20"/>
  <c r="E51" i="17"/>
  <c r="E45" i="17"/>
  <c r="E106" i="17"/>
  <c r="E55" i="17"/>
  <c r="E50" i="17"/>
  <c r="E57" i="17"/>
  <c r="E86" i="17"/>
  <c r="E85" i="17"/>
  <c r="E84" i="17"/>
  <c r="E83" i="17"/>
  <c r="E82" i="17"/>
  <c r="E80" i="17"/>
  <c r="E81" i="17"/>
  <c r="E79" i="17"/>
  <c r="E78" i="17"/>
  <c r="E77" i="17"/>
  <c r="E76" i="17"/>
  <c r="E75" i="17"/>
  <c r="E74" i="17"/>
  <c r="E73" i="17"/>
  <c r="E72" i="17"/>
  <c r="E71" i="17"/>
  <c r="E70" i="17"/>
  <c r="E69" i="17"/>
  <c r="E68" i="17"/>
  <c r="E67" i="17"/>
  <c r="E66" i="17"/>
  <c r="E65" i="17"/>
  <c r="E102" i="17"/>
  <c r="E104" i="17"/>
  <c r="E107" i="17"/>
  <c r="E108" i="17"/>
  <c r="E115" i="17"/>
  <c r="E114" i="17"/>
  <c r="E113" i="17"/>
  <c r="E112" i="17"/>
  <c r="E111" i="17"/>
  <c r="E118" i="17"/>
  <c r="E119" i="17"/>
  <c r="E120" i="17"/>
  <c r="E121" i="17"/>
  <c r="E123" i="17"/>
  <c r="E124" i="17"/>
  <c r="E145" i="17"/>
  <c r="E147" i="17"/>
  <c r="E163" i="17"/>
  <c r="E169" i="17"/>
  <c r="E171" i="17"/>
  <c r="E177" i="17"/>
  <c r="E159" i="17"/>
  <c r="E158" i="17"/>
  <c r="E157" i="17"/>
  <c r="E156" i="17"/>
  <c r="E155" i="17"/>
  <c r="E153" i="17"/>
  <c r="E152" i="17"/>
  <c r="E151" i="17"/>
  <c r="E150" i="17"/>
  <c r="E149" i="17"/>
  <c r="E148" i="17"/>
  <c r="E146" i="17"/>
  <c r="E144" i="17"/>
  <c r="E143" i="17"/>
  <c r="E141" i="17"/>
  <c r="E140" i="17"/>
  <c r="E139" i="17"/>
  <c r="E138" i="17"/>
  <c r="E137" i="17"/>
  <c r="E135" i="17"/>
  <c r="E134" i="17"/>
  <c r="E133" i="17"/>
  <c r="E132" i="17"/>
  <c r="E131" i="17"/>
  <c r="E176" i="17"/>
  <c r="E183" i="17"/>
  <c r="E182" i="17"/>
  <c r="E181" i="17"/>
  <c r="E180" i="17"/>
  <c r="E179" i="17"/>
  <c r="E175" i="17"/>
  <c r="E174" i="17"/>
  <c r="E173" i="17"/>
  <c r="E172" i="17"/>
  <c r="E170" i="17"/>
  <c r="E168" i="17"/>
  <c r="E167" i="17"/>
  <c r="E164" i="17"/>
  <c r="E165" i="17"/>
  <c r="E162" i="17"/>
  <c r="E161" i="17"/>
  <c r="E110" i="17"/>
  <c r="E109" i="17"/>
  <c r="E103" i="17"/>
  <c r="E105" i="17"/>
  <c r="E101" i="17"/>
  <c r="E100" i="17"/>
  <c r="E99" i="17"/>
  <c r="E98" i="17"/>
  <c r="E97" i="17"/>
  <c r="E96" i="17"/>
  <c r="E95" i="17"/>
  <c r="E94" i="17"/>
  <c r="E56" i="17"/>
  <c r="E54" i="17"/>
  <c r="E53" i="17"/>
  <c r="E52" i="17"/>
  <c r="E47" i="17"/>
  <c r="E46" i="17"/>
  <c r="E48" i="17"/>
  <c r="E44" i="17"/>
  <c r="E53" i="24"/>
  <c r="E52" i="24"/>
  <c r="E50" i="24"/>
  <c r="E49" i="24"/>
  <c r="E48" i="24"/>
  <c r="E47" i="24"/>
  <c r="E46" i="24"/>
  <c r="E45" i="24"/>
  <c r="E44" i="24"/>
  <c r="E59" i="24"/>
  <c r="E142" i="17"/>
  <c r="G2" i="24"/>
  <c r="E65" i="24"/>
  <c r="E51" i="24"/>
  <c r="E2" i="24"/>
  <c r="E205" i="20"/>
  <c r="E204" i="20"/>
  <c r="E203" i="20"/>
  <c r="E202" i="20"/>
  <c r="E201" i="20"/>
  <c r="E200" i="20"/>
  <c r="E199" i="20"/>
  <c r="E198" i="20"/>
  <c r="E197" i="20"/>
  <c r="E196" i="20"/>
  <c r="E178" i="20"/>
  <c r="E166" i="17"/>
  <c r="E49" i="17"/>
  <c r="E63" i="24"/>
  <c r="E58" i="24"/>
  <c r="E36" i="24"/>
  <c r="E186" i="20"/>
  <c r="E185" i="20"/>
  <c r="E184" i="20"/>
  <c r="E183" i="20"/>
  <c r="E182" i="20"/>
  <c r="E181" i="20"/>
  <c r="E180" i="20"/>
  <c r="E174" i="20"/>
  <c r="E173" i="20"/>
  <c r="E172" i="20"/>
  <c r="E171" i="20"/>
  <c r="E170" i="20"/>
  <c r="E169" i="20"/>
  <c r="E168" i="20"/>
  <c r="E167" i="20"/>
  <c r="E166" i="20"/>
  <c r="E165" i="20"/>
  <c r="E164" i="20"/>
  <c r="E163" i="20"/>
  <c r="E162" i="20"/>
  <c r="E161" i="20"/>
  <c r="E160" i="20"/>
  <c r="E159" i="20"/>
  <c r="E158" i="20"/>
  <c r="E157" i="20"/>
  <c r="E156" i="20"/>
  <c r="E155" i="20"/>
  <c r="E154" i="20"/>
  <c r="E153" i="20"/>
  <c r="E152" i="20"/>
  <c r="E151" i="20"/>
  <c r="E150" i="20"/>
  <c r="E149" i="20"/>
  <c r="E148" i="20"/>
  <c r="E147" i="20"/>
  <c r="E146" i="20"/>
  <c r="E145" i="20"/>
  <c r="E137" i="20"/>
  <c r="E136" i="20"/>
  <c r="E135" i="20"/>
  <c r="E126" i="20"/>
  <c r="E124" i="20"/>
  <c r="E122" i="20"/>
  <c r="E112" i="20"/>
  <c r="G2" i="20"/>
  <c r="E209" i="20"/>
  <c r="E138" i="20"/>
  <c r="E102" i="20"/>
  <c r="E82" i="20"/>
  <c r="E55" i="20"/>
  <c r="E36" i="20"/>
  <c r="E90" i="19"/>
  <c r="E82" i="19"/>
  <c r="E81" i="19"/>
  <c r="E73" i="19"/>
  <c r="E65" i="19"/>
  <c r="E64" i="19"/>
  <c r="E63" i="19"/>
  <c r="E62" i="19"/>
  <c r="E61" i="19"/>
  <c r="E60" i="19"/>
  <c r="E59" i="19"/>
  <c r="E58" i="19"/>
  <c r="E57" i="19"/>
  <c r="E56" i="19"/>
  <c r="E55" i="19"/>
  <c r="E43" i="19"/>
  <c r="E91" i="19"/>
  <c r="E74" i="19"/>
  <c r="E48" i="19"/>
  <c r="E2" i="19"/>
  <c r="E225" i="18"/>
  <c r="E224" i="18"/>
  <c r="E200" i="18"/>
  <c r="E199" i="18"/>
  <c r="E198" i="18"/>
  <c r="E177" i="18"/>
  <c r="E176" i="18"/>
  <c r="E175" i="18"/>
  <c r="E174" i="18"/>
  <c r="E173" i="18"/>
  <c r="E172" i="18"/>
  <c r="E157" i="18"/>
  <c r="E156" i="18"/>
  <c r="E141" i="18"/>
  <c r="E140" i="18"/>
  <c r="E139" i="18"/>
  <c r="E138" i="18"/>
  <c r="E137" i="18"/>
  <c r="E136" i="18"/>
  <c r="E135" i="18"/>
  <c r="E134" i="18"/>
  <c r="E132" i="18"/>
  <c r="E131" i="18"/>
  <c r="E130" i="18"/>
  <c r="E129" i="18"/>
  <c r="E128" i="18"/>
  <c r="E127" i="18"/>
  <c r="E126" i="18"/>
  <c r="E125" i="18"/>
  <c r="E124" i="18"/>
  <c r="E123" i="18"/>
  <c r="E122" i="18"/>
  <c r="E95" i="18"/>
  <c r="E94" i="18"/>
  <c r="E93" i="18"/>
  <c r="E92" i="18"/>
  <c r="E91" i="18"/>
  <c r="E68" i="18"/>
  <c r="E67" i="18"/>
  <c r="E66" i="18"/>
  <c r="E65" i="18"/>
  <c r="E64" i="18"/>
  <c r="E63" i="18"/>
  <c r="E62" i="18"/>
  <c r="E61" i="18"/>
  <c r="E60" i="18"/>
  <c r="E59" i="18"/>
  <c r="E58" i="18"/>
  <c r="E57" i="18"/>
  <c r="E56" i="18"/>
  <c r="E36" i="18"/>
  <c r="E2" i="18"/>
  <c r="E136" i="17"/>
  <c r="E117" i="17"/>
  <c r="E58" i="17"/>
  <c r="G2" i="17"/>
  <c r="E187" i="17"/>
  <c r="E197" i="17" s="1"/>
  <c r="E134" i="20"/>
  <c r="E125" i="20"/>
  <c r="E123" i="20"/>
  <c r="E121" i="20"/>
  <c r="E120" i="20"/>
  <c r="E119" i="20"/>
  <c r="E118" i="20"/>
  <c r="E117" i="20"/>
  <c r="E116" i="20"/>
  <c r="E110" i="20"/>
  <c r="E109" i="20"/>
  <c r="E101" i="20"/>
  <c r="E100" i="20"/>
  <c r="E99" i="20"/>
  <c r="E98" i="20"/>
  <c r="E97" i="20"/>
  <c r="E78" i="20"/>
  <c r="E76" i="20"/>
  <c r="E75" i="20"/>
  <c r="E74" i="20"/>
  <c r="E69" i="20"/>
  <c r="E61" i="20"/>
  <c r="E54" i="20"/>
  <c r="E46" i="20"/>
  <c r="E45" i="20"/>
  <c r="E44" i="20"/>
  <c r="E43" i="20"/>
  <c r="E219" i="20" s="1"/>
  <c r="E220" i="20"/>
  <c r="E210" i="20"/>
  <c r="E187" i="20"/>
  <c r="E127" i="20"/>
  <c r="E90" i="20"/>
  <c r="E62" i="20"/>
  <c r="E47" i="20"/>
  <c r="E2" i="20"/>
  <c r="E46" i="19"/>
  <c r="E45" i="19"/>
  <c r="E104" i="19" s="1"/>
  <c r="G2" i="19"/>
  <c r="E110" i="19"/>
  <c r="E108" i="19"/>
  <c r="E103" i="19"/>
  <c r="E83" i="19"/>
  <c r="E66" i="19"/>
  <c r="E36" i="19"/>
  <c r="E219" i="18"/>
  <c r="E218" i="18"/>
  <c r="E217" i="18"/>
  <c r="E216" i="18"/>
  <c r="E215" i="18"/>
  <c r="E214" i="18"/>
  <c r="E213" i="18"/>
  <c r="E212" i="18"/>
  <c r="E211" i="18"/>
  <c r="E210" i="18"/>
  <c r="E209" i="18"/>
  <c r="E208" i="18"/>
  <c r="E207" i="18"/>
  <c r="E191" i="18"/>
  <c r="E190" i="18"/>
  <c r="E189" i="18"/>
  <c r="E188" i="18"/>
  <c r="E187" i="18"/>
  <c r="E186" i="18"/>
  <c r="E185" i="18"/>
  <c r="E184" i="18"/>
  <c r="E165" i="18"/>
  <c r="E164" i="18"/>
  <c r="E150" i="18"/>
  <c r="E149" i="18"/>
  <c r="E148" i="18"/>
  <c r="E114" i="18"/>
  <c r="E113" i="18"/>
  <c r="E112" i="18"/>
  <c r="E111" i="18"/>
  <c r="E110" i="18"/>
  <c r="E109" i="18"/>
  <c r="E108" i="18"/>
  <c r="E107" i="18"/>
  <c r="E106" i="18"/>
  <c r="E105" i="18"/>
  <c r="E104" i="18"/>
  <c r="E103" i="18"/>
  <c r="E102" i="18"/>
  <c r="E84" i="18"/>
  <c r="E83" i="18"/>
  <c r="E82" i="18"/>
  <c r="E81" i="18"/>
  <c r="E80" i="18"/>
  <c r="E79" i="18"/>
  <c r="E78" i="18"/>
  <c r="E77" i="18"/>
  <c r="E76" i="18"/>
  <c r="E75" i="18"/>
  <c r="E49" i="18"/>
  <c r="E48" i="18"/>
  <c r="E47" i="18"/>
  <c r="E46" i="18"/>
  <c r="E45" i="18"/>
  <c r="E44" i="18"/>
  <c r="E43" i="18"/>
  <c r="E231" i="18" s="1"/>
  <c r="G2" i="18"/>
  <c r="E237" i="18"/>
  <c r="E235" i="18"/>
  <c r="E230" i="18"/>
  <c r="E160" i="17"/>
  <c r="E125" i="17"/>
  <c r="E87" i="17"/>
  <c r="E38" i="17"/>
  <c r="E198" i="17"/>
  <c r="E188" i="17"/>
  <c r="E2" i="17"/>
  <c r="E62" i="24"/>
  <c r="E64" i="24"/>
  <c r="E66" i="24"/>
  <c r="E68" i="24"/>
  <c r="E69" i="24"/>
  <c r="E213" i="20"/>
  <c r="E215" i="20"/>
  <c r="E217" i="20"/>
  <c r="E214" i="20"/>
  <c r="E216" i="20"/>
  <c r="E107" i="19"/>
  <c r="E109" i="19"/>
  <c r="E111" i="19"/>
  <c r="E113" i="19"/>
  <c r="E114" i="19"/>
  <c r="E234" i="18"/>
  <c r="E236" i="18"/>
  <c r="E238" i="18"/>
  <c r="E240" i="18"/>
  <c r="E241" i="18"/>
  <c r="E191" i="17"/>
  <c r="E193" i="17"/>
  <c r="E195" i="17"/>
  <c r="E192" i="17"/>
  <c r="E194" i="17"/>
  <c r="G186" i="20" l="1"/>
  <c r="G185" i="20"/>
  <c r="G183" i="20"/>
  <c r="G182" i="20"/>
  <c r="G195" i="20"/>
  <c r="G194" i="20"/>
  <c r="G193" i="20"/>
  <c r="G36" i="24"/>
  <c r="G53" i="24"/>
  <c r="G52" i="24"/>
  <c r="G50" i="24"/>
  <c r="G49" i="24"/>
  <c r="G48" i="24"/>
  <c r="G47" i="24"/>
  <c r="G46" i="24"/>
  <c r="G45" i="24"/>
  <c r="G44" i="24"/>
  <c r="G51" i="24"/>
  <c r="E189" i="17"/>
  <c r="E105" i="19"/>
  <c r="E60" i="24"/>
  <c r="E232" i="18"/>
  <c r="E211" i="20"/>
  <c r="G115" i="20" l="1"/>
  <c r="G114" i="20"/>
  <c r="G113" i="20"/>
  <c r="G73" i="20"/>
  <c r="G72" i="20"/>
  <c r="G70" i="20"/>
  <c r="G71" i="20"/>
  <c r="G81" i="20"/>
  <c r="G80" i="20"/>
  <c r="G79" i="20"/>
  <c r="G89" i="20"/>
  <c r="G111" i="20"/>
  <c r="G138" i="20"/>
  <c r="G102" i="20"/>
  <c r="G82" i="20"/>
  <c r="G55" i="20"/>
  <c r="G36" i="20"/>
  <c r="G205" i="20"/>
  <c r="G204" i="20"/>
  <c r="G203" i="20"/>
  <c r="G202" i="20"/>
  <c r="G201" i="20"/>
  <c r="G200" i="20"/>
  <c r="G199" i="20"/>
  <c r="G198" i="20"/>
  <c r="G197" i="20"/>
  <c r="G196" i="20"/>
  <c r="G178" i="20"/>
  <c r="G174" i="20"/>
  <c r="G173" i="20"/>
  <c r="G172" i="20"/>
  <c r="G171" i="20"/>
  <c r="G170" i="20"/>
  <c r="G169" i="20"/>
  <c r="G168" i="20"/>
  <c r="G167" i="20"/>
  <c r="G166" i="20"/>
  <c r="G165" i="20"/>
  <c r="G164" i="20"/>
  <c r="G163" i="20"/>
  <c r="G162" i="20"/>
  <c r="G161" i="20"/>
  <c r="G160" i="20"/>
  <c r="G159" i="20"/>
  <c r="G158" i="20"/>
  <c r="G157" i="20"/>
  <c r="G156" i="20"/>
  <c r="G155" i="20"/>
  <c r="G154" i="20"/>
  <c r="G153" i="20"/>
  <c r="G152" i="20"/>
  <c r="G151" i="20"/>
  <c r="G150" i="20"/>
  <c r="G149" i="20"/>
  <c r="G148" i="20"/>
  <c r="G147" i="20"/>
  <c r="G146" i="20"/>
  <c r="G145" i="20"/>
  <c r="G137" i="20"/>
  <c r="G136" i="20"/>
  <c r="G135" i="20"/>
  <c r="G134" i="20"/>
  <c r="G126" i="20"/>
  <c r="G125" i="20"/>
  <c r="G124" i="20"/>
  <c r="G123" i="20"/>
  <c r="G122" i="20"/>
  <c r="G121" i="20"/>
  <c r="G120" i="20"/>
  <c r="G119" i="20"/>
  <c r="G118" i="20"/>
  <c r="G117" i="20"/>
  <c r="G116" i="20"/>
  <c r="G112" i="20"/>
  <c r="G110" i="20"/>
  <c r="G109" i="20"/>
  <c r="G101" i="20"/>
  <c r="G100" i="20"/>
  <c r="G99" i="20"/>
  <c r="G98" i="20"/>
  <c r="G97" i="20"/>
  <c r="G78" i="20"/>
  <c r="G76" i="20"/>
  <c r="G75" i="20"/>
  <c r="G74" i="20"/>
  <c r="G69" i="20"/>
  <c r="G61" i="20"/>
  <c r="G54" i="20"/>
  <c r="G46" i="20"/>
  <c r="G45" i="20"/>
  <c r="G44" i="20"/>
  <c r="G43" i="20"/>
  <c r="G98" i="19"/>
  <c r="G187" i="20"/>
  <c r="G127" i="20"/>
  <c r="G90" i="20"/>
  <c r="G62" i="20"/>
  <c r="G47" i="20"/>
  <c r="G91" i="19"/>
  <c r="G48" i="19"/>
  <c r="G47" i="19"/>
  <c r="G199" i="18"/>
  <c r="G198" i="18"/>
  <c r="G190" i="18"/>
  <c r="G44" i="19"/>
  <c r="G83" i="19"/>
  <c r="G66" i="19"/>
  <c r="G36" i="19"/>
  <c r="G90" i="19"/>
  <c r="G82" i="19"/>
  <c r="G81" i="19"/>
  <c r="G73" i="19"/>
  <c r="G65" i="19"/>
  <c r="G64" i="19"/>
  <c r="G63" i="19"/>
  <c r="G62" i="19"/>
  <c r="G61" i="19"/>
  <c r="G60" i="19"/>
  <c r="G59" i="19"/>
  <c r="G58" i="19"/>
  <c r="G57" i="19"/>
  <c r="G56" i="19"/>
  <c r="G55" i="19"/>
  <c r="G46" i="19"/>
  <c r="G45" i="19"/>
  <c r="G43" i="19"/>
  <c r="G74" i="19"/>
  <c r="G187" i="18" l="1"/>
  <c r="G186" i="18"/>
  <c r="G185" i="18"/>
  <c r="G174" i="18"/>
  <c r="G173" i="18"/>
  <c r="G188" i="18"/>
  <c r="G184" i="18"/>
  <c r="G175" i="18"/>
  <c r="G172" i="18"/>
  <c r="G164" i="18"/>
  <c r="G156" i="18"/>
  <c r="G140" i="18"/>
  <c r="G139" i="18"/>
  <c r="G134" i="18"/>
  <c r="G137" i="18"/>
  <c r="G132" i="18"/>
  <c r="G131" i="18"/>
  <c r="G130" i="18"/>
  <c r="G128" i="18"/>
  <c r="G126" i="18"/>
  <c r="G122" i="18"/>
  <c r="G112" i="18"/>
  <c r="G111" i="18"/>
  <c r="G110" i="18"/>
  <c r="G225" i="18"/>
  <c r="G218" i="18"/>
  <c r="G215" i="18"/>
  <c r="G213" i="18"/>
  <c r="G211" i="18"/>
  <c r="G189" i="18"/>
  <c r="G138" i="18"/>
  <c r="G129" i="18"/>
  <c r="G123" i="18"/>
  <c r="G113" i="18"/>
  <c r="C110" i="18"/>
  <c r="G102" i="18"/>
  <c r="G93" i="18"/>
  <c r="G94" i="18"/>
  <c r="G224" i="18"/>
  <c r="G217" i="18"/>
  <c r="G214" i="18"/>
  <c r="G212" i="18"/>
  <c r="G210" i="18"/>
  <c r="G109" i="18" l="1"/>
  <c r="G108" i="18"/>
  <c r="G106" i="18"/>
  <c r="G104" i="18"/>
  <c r="G103" i="18"/>
  <c r="G92" i="18"/>
  <c r="G91" i="18"/>
  <c r="G81" i="18"/>
  <c r="G80" i="18"/>
  <c r="G79" i="18"/>
  <c r="G78" i="18"/>
  <c r="G77" i="18"/>
  <c r="G76" i="18"/>
  <c r="G75" i="18"/>
  <c r="G67" i="18"/>
  <c r="G66" i="18"/>
  <c r="G58" i="18"/>
  <c r="G59" i="18"/>
  <c r="G107" i="18"/>
  <c r="G105" i="18"/>
  <c r="A1" i="17" l="1"/>
  <c r="A3" i="24"/>
  <c r="G158" i="17"/>
  <c r="G156" i="17"/>
  <c r="G153" i="17"/>
  <c r="G151" i="17"/>
  <c r="G149" i="17"/>
  <c r="G147" i="17"/>
  <c r="G145" i="17"/>
  <c r="G143" i="17"/>
  <c r="G141" i="17"/>
  <c r="G139" i="17"/>
  <c r="G85" i="17"/>
  <c r="G83" i="17"/>
  <c r="G81" i="17"/>
  <c r="G79" i="17"/>
  <c r="G77" i="17"/>
  <c r="G75" i="17"/>
  <c r="G73" i="17"/>
  <c r="G71" i="17"/>
  <c r="G69" i="17"/>
  <c r="G67" i="17"/>
  <c r="G49" i="17"/>
  <c r="G119" i="17"/>
  <c r="G118" i="17"/>
  <c r="G115" i="17"/>
  <c r="G135" i="17"/>
  <c r="G134" i="17"/>
  <c r="G161" i="17"/>
  <c r="G177" i="17"/>
  <c r="G176" i="17"/>
  <c r="G175" i="17"/>
  <c r="G174" i="17"/>
  <c r="G173" i="17"/>
  <c r="G172" i="17"/>
  <c r="G171" i="17"/>
  <c r="G183" i="17"/>
  <c r="G182" i="17"/>
  <c r="G181" i="17"/>
  <c r="G180" i="17"/>
  <c r="G45" i="17"/>
  <c r="G179" i="17"/>
  <c r="G169" i="17"/>
  <c r="G167" i="17"/>
  <c r="G165" i="17"/>
  <c r="G159" i="17"/>
  <c r="G155" i="17"/>
  <c r="G150" i="17"/>
  <c r="G146" i="17"/>
  <c r="G142" i="17"/>
  <c r="G138" i="17"/>
  <c r="G163" i="17"/>
  <c r="G133" i="17"/>
  <c r="G131" i="17"/>
  <c r="G113" i="17"/>
  <c r="G111" i="17"/>
  <c r="G109" i="17"/>
  <c r="G107" i="17"/>
  <c r="G105" i="17"/>
  <c r="G103" i="17"/>
  <c r="G101" i="17"/>
  <c r="G100" i="17"/>
  <c r="G97" i="17"/>
  <c r="G95" i="17"/>
  <c r="G124" i="17"/>
  <c r="G121" i="17"/>
  <c r="G86" i="17"/>
  <c r="G82" i="17"/>
  <c r="G78" i="17"/>
  <c r="G74" i="17"/>
  <c r="G70" i="17"/>
  <c r="G66" i="17"/>
  <c r="G57" i="17"/>
  <c r="G53" i="17"/>
  <c r="G170" i="17"/>
  <c r="G168" i="17"/>
  <c r="G166" i="17"/>
  <c r="G164" i="17"/>
  <c r="G157" i="17"/>
  <c r="G152" i="17"/>
  <c r="G148" i="17"/>
  <c r="G144" i="17"/>
  <c r="G140" i="17"/>
  <c r="G137" i="17"/>
  <c r="G162" i="17"/>
  <c r="G132" i="17"/>
  <c r="G114" i="17"/>
  <c r="G112" i="17"/>
  <c r="G110" i="17"/>
  <c r="G108" i="17"/>
  <c r="G106" i="17"/>
  <c r="G104" i="17"/>
  <c r="G102" i="17"/>
  <c r="G99" i="17"/>
  <c r="G98" i="17"/>
  <c r="G96" i="17"/>
  <c r="G94" i="17"/>
  <c r="G123" i="17"/>
  <c r="G120" i="17"/>
  <c r="G84" i="17"/>
  <c r="G80" i="17"/>
  <c r="G76" i="17"/>
  <c r="G72" i="17"/>
  <c r="G68" i="17"/>
  <c r="G65" i="17"/>
  <c r="G56" i="17"/>
  <c r="G54" i="17"/>
  <c r="G52" i="17"/>
  <c r="G50" i="17"/>
  <c r="G48" i="17"/>
  <c r="G55" i="17"/>
  <c r="G51" i="17"/>
  <c r="G125" i="17"/>
  <c r="G47" i="17"/>
  <c r="G46" i="17"/>
  <c r="G44" i="17"/>
  <c r="G136" i="17"/>
  <c r="G117" i="17"/>
  <c r="G58" i="17"/>
  <c r="G160" i="17"/>
  <c r="G87" i="17"/>
  <c r="G38" i="17"/>
  <c r="C117" i="17"/>
  <c r="C22" i="24"/>
  <c r="C18" i="24"/>
  <c r="C25" i="24"/>
  <c r="C3" i="24"/>
  <c r="C29" i="24"/>
  <c r="C14" i="24"/>
  <c r="C56" i="17"/>
  <c r="D58" i="17"/>
  <c r="C21" i="24"/>
  <c r="C16" i="24"/>
  <c r="D87" i="17"/>
  <c r="D160" i="17"/>
  <c r="C5" i="24"/>
  <c r="C30" i="24"/>
  <c r="D39" i="24"/>
  <c r="D41" i="24"/>
  <c r="D219" i="18"/>
  <c r="D40" i="24"/>
  <c r="C7" i="24"/>
  <c r="C44" i="24"/>
  <c r="C38" i="17"/>
  <c r="C52" i="24"/>
  <c r="D51" i="24"/>
  <c r="C53" i="24"/>
  <c r="C50" i="24"/>
  <c r="C87" i="17"/>
  <c r="C160" i="17"/>
  <c r="C11" i="24"/>
  <c r="C45" i="24"/>
  <c r="D38" i="17"/>
  <c r="D125" i="17"/>
  <c r="C42" i="24"/>
  <c r="C23" i="24"/>
  <c r="C36" i="24"/>
  <c r="C24" i="24"/>
  <c r="C32" i="24"/>
  <c r="C125" i="17"/>
  <c r="C26" i="24"/>
  <c r="C15" i="24"/>
  <c r="C58" i="17"/>
  <c r="C136" i="17"/>
  <c r="C12" i="24"/>
  <c r="C19" i="24"/>
  <c r="C31" i="24"/>
  <c r="C33" i="24"/>
  <c r="C27" i="24"/>
  <c r="C17" i="24"/>
  <c r="C20" i="24"/>
  <c r="C4" i="24"/>
  <c r="C9" i="24"/>
  <c r="D136" i="17"/>
  <c r="D36" i="24"/>
  <c r="C10" i="24"/>
  <c r="D117" i="17"/>
  <c r="C28" i="24"/>
  <c r="C8" i="24"/>
  <c r="D38" i="24"/>
  <c r="C46" i="24"/>
  <c r="C13" i="24"/>
  <c r="G56" i="18"/>
  <c r="G57" i="18"/>
  <c r="G48" i="18"/>
  <c r="G65" i="18"/>
  <c r="G64" i="18"/>
  <c r="G63" i="18"/>
  <c r="G62" i="18"/>
  <c r="G61" i="18"/>
  <c r="G47" i="18"/>
  <c r="G45" i="18"/>
  <c r="G46" i="18"/>
  <c r="G219" i="18"/>
  <c r="G191" i="18"/>
  <c r="G165" i="18"/>
  <c r="G150" i="18"/>
  <c r="G114" i="18"/>
  <c r="G84" i="18"/>
  <c r="G49" i="18"/>
  <c r="G83" i="18"/>
  <c r="G60" i="18"/>
  <c r="G44" i="18"/>
  <c r="G43" i="18"/>
  <c r="G200" i="18"/>
  <c r="G177" i="18"/>
  <c r="G157" i="18"/>
  <c r="G141" i="18"/>
  <c r="G95" i="18"/>
  <c r="G68" i="18"/>
  <c r="G36" i="18"/>
  <c r="G216" i="18"/>
  <c r="G209" i="18"/>
  <c r="G208" i="18"/>
  <c r="G207" i="18"/>
  <c r="G176" i="18"/>
  <c r="G149" i="18"/>
  <c r="G148" i="18"/>
  <c r="G136" i="18"/>
  <c r="G135" i="18"/>
  <c r="G127" i="18"/>
  <c r="G125" i="18"/>
  <c r="G124" i="18"/>
  <c r="G82" i="18"/>
  <c r="G58" i="24"/>
  <c r="G59" i="24"/>
  <c r="G66" i="24"/>
  <c r="G65" i="24"/>
  <c r="D44" i="24"/>
  <c r="D46" i="24"/>
  <c r="D48" i="24"/>
  <c r="D50" i="24"/>
  <c r="D53" i="24"/>
  <c r="D45" i="24"/>
  <c r="D47" i="24"/>
  <c r="D49" i="24"/>
  <c r="D52" i="24"/>
  <c r="D58" i="24"/>
  <c r="G62" i="24"/>
  <c r="G64" i="24"/>
  <c r="J58" i="24" l="1"/>
  <c r="A2" i="24"/>
  <c r="E36" i="13"/>
  <c r="C49" i="24"/>
  <c r="C48" i="24"/>
  <c r="C47" i="24"/>
  <c r="G63" i="24"/>
  <c r="D59" i="24"/>
  <c r="D65" i="24"/>
  <c r="G60" i="24"/>
  <c r="G69" i="24"/>
  <c r="D68" i="24"/>
  <c r="G68" i="24"/>
  <c r="D62" i="24"/>
  <c r="D64" i="24"/>
  <c r="D63" i="24"/>
  <c r="D69" i="24"/>
  <c r="D66" i="24"/>
  <c r="J66" i="24" l="1" a="1"/>
  <c r="J66" i="24" s="1"/>
  <c r="J62" i="24" a="1"/>
  <c r="J62" i="24" s="1"/>
  <c r="J65" i="24" a="1"/>
  <c r="J65" i="24" s="1"/>
  <c r="J63" i="24" a="1"/>
  <c r="J63" i="24" s="1"/>
  <c r="J64" i="24" a="1"/>
  <c r="J64" i="24" s="1"/>
  <c r="J59" i="24"/>
  <c r="K63" i="24" s="1"/>
  <c r="J68" i="24" a="1"/>
  <c r="J68" i="24" s="1"/>
  <c r="K68" i="24" s="1"/>
  <c r="J69" i="24" a="1"/>
  <c r="J69" i="24" s="1"/>
  <c r="K69" i="24" s="1"/>
  <c r="K62" i="24"/>
  <c r="A1" i="19"/>
  <c r="C219" i="18"/>
  <c r="C47" i="19"/>
  <c r="C90" i="19"/>
  <c r="C82" i="19"/>
  <c r="D60" i="24"/>
  <c r="K65" i="24" l="1"/>
  <c r="K66" i="24"/>
  <c r="K64" i="24"/>
  <c r="J60" i="24"/>
  <c r="A3" i="20"/>
  <c r="A2" i="20"/>
  <c r="A1" i="20"/>
  <c r="A3" i="19"/>
  <c r="A2" i="19"/>
  <c r="A3" i="18"/>
  <c r="A2" i="18"/>
  <c r="A1" i="18"/>
  <c r="A3" i="17"/>
  <c r="A2" i="17"/>
  <c r="C45" i="20"/>
  <c r="C109" i="18"/>
  <c r="C112" i="18"/>
  <c r="C159" i="17"/>
  <c r="C108" i="18"/>
  <c r="C158" i="17"/>
  <c r="C57" i="18"/>
  <c r="C56" i="18"/>
  <c r="C126" i="20"/>
  <c r="C113" i="18"/>
  <c r="C114" i="20"/>
  <c r="C184" i="20"/>
  <c r="C181" i="20"/>
  <c r="C195" i="20"/>
  <c r="C115" i="20"/>
  <c r="C187" i="18"/>
  <c r="C125" i="20"/>
  <c r="D70" i="20"/>
  <c r="D72" i="20"/>
  <c r="D79" i="20"/>
  <c r="D81" i="20"/>
  <c r="D111" i="20"/>
  <c r="D112" i="20"/>
  <c r="D114" i="20"/>
  <c r="D43" i="20"/>
  <c r="D44" i="20"/>
  <c r="D45" i="20"/>
  <c r="D46" i="20"/>
  <c r="D54" i="20"/>
  <c r="D61" i="20"/>
  <c r="D69" i="20"/>
  <c r="D71" i="20"/>
  <c r="D73" i="20"/>
  <c r="D74" i="20"/>
  <c r="D75" i="20"/>
  <c r="D76" i="20"/>
  <c r="D78" i="20"/>
  <c r="D80" i="20"/>
  <c r="D89" i="20"/>
  <c r="D97" i="20"/>
  <c r="D98" i="20"/>
  <c r="D99" i="20"/>
  <c r="D100" i="20"/>
  <c r="D101" i="20"/>
  <c r="D109" i="20"/>
  <c r="D110" i="20"/>
  <c r="D113" i="20"/>
  <c r="D115" i="20"/>
  <c r="D116" i="20"/>
  <c r="D117" i="20"/>
  <c r="D118" i="20"/>
  <c r="D119" i="20"/>
  <c r="D120" i="20"/>
  <c r="D175" i="20"/>
  <c r="D177" i="20"/>
  <c r="D178" i="20"/>
  <c r="D193" i="20"/>
  <c r="D195" i="20"/>
  <c r="D196" i="20"/>
  <c r="D197" i="20"/>
  <c r="D198" i="20"/>
  <c r="D199" i="20"/>
  <c r="D200" i="20"/>
  <c r="D201" i="20"/>
  <c r="D202" i="20"/>
  <c r="D203" i="20"/>
  <c r="D204" i="20"/>
  <c r="D205" i="20"/>
  <c r="D121" i="20"/>
  <c r="D122" i="20"/>
  <c r="D123" i="20"/>
  <c r="D124" i="20"/>
  <c r="D125" i="20"/>
  <c r="D126" i="20"/>
  <c r="D134" i="20"/>
  <c r="D135" i="20"/>
  <c r="D136" i="20"/>
  <c r="D137"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6" i="20"/>
  <c r="D179" i="20"/>
  <c r="D180" i="20"/>
  <c r="D181" i="20"/>
  <c r="D182" i="20"/>
  <c r="D183" i="20"/>
  <c r="D184" i="20"/>
  <c r="D185" i="20"/>
  <c r="D186" i="20"/>
  <c r="D194" i="20"/>
  <c r="D43" i="19"/>
  <c r="D47" i="19"/>
  <c r="D55" i="19"/>
  <c r="D56" i="19"/>
  <c r="D57" i="19"/>
  <c r="D58" i="19"/>
  <c r="D59" i="19"/>
  <c r="D60" i="19"/>
  <c r="D61" i="19"/>
  <c r="D62" i="19"/>
  <c r="D63" i="19"/>
  <c r="D64" i="19"/>
  <c r="D65" i="19"/>
  <c r="D73" i="19"/>
  <c r="D81" i="19"/>
  <c r="D82" i="19"/>
  <c r="D90" i="19"/>
  <c r="D44" i="19"/>
  <c r="D45" i="19"/>
  <c r="D46" i="19"/>
  <c r="D98" i="19"/>
  <c r="D56" i="18"/>
  <c r="D57" i="18"/>
  <c r="D58" i="18"/>
  <c r="D59" i="18"/>
  <c r="D60" i="18"/>
  <c r="D61" i="18"/>
  <c r="D62" i="18"/>
  <c r="D63" i="18"/>
  <c r="D64" i="18"/>
  <c r="D65" i="18"/>
  <c r="D66" i="18"/>
  <c r="D67" i="18"/>
  <c r="D91" i="18"/>
  <c r="D92" i="18"/>
  <c r="D93" i="18"/>
  <c r="D94" i="18"/>
  <c r="D122" i="18"/>
  <c r="D123" i="18"/>
  <c r="D124" i="18"/>
  <c r="D125" i="18"/>
  <c r="D126" i="18"/>
  <c r="D127" i="18"/>
  <c r="D128" i="18"/>
  <c r="D129" i="18"/>
  <c r="D130" i="18"/>
  <c r="D131" i="18"/>
  <c r="D132" i="18"/>
  <c r="D134" i="18"/>
  <c r="D135" i="18"/>
  <c r="D136" i="18"/>
  <c r="D137" i="18"/>
  <c r="D138" i="18"/>
  <c r="D139" i="18"/>
  <c r="D140" i="18"/>
  <c r="D156" i="18"/>
  <c r="D172" i="18"/>
  <c r="D173" i="18"/>
  <c r="D174" i="18"/>
  <c r="D175" i="18"/>
  <c r="D176" i="18"/>
  <c r="D198" i="18"/>
  <c r="D199" i="18"/>
  <c r="D224" i="18"/>
  <c r="D225" i="18"/>
  <c r="D43" i="18"/>
  <c r="D44" i="18"/>
  <c r="D45" i="18"/>
  <c r="D46" i="18"/>
  <c r="D47" i="18"/>
  <c r="D48" i="18"/>
  <c r="D75" i="18"/>
  <c r="D76" i="18"/>
  <c r="D77" i="18"/>
  <c r="D78" i="18"/>
  <c r="D79" i="18"/>
  <c r="D80" i="18"/>
  <c r="D81" i="18"/>
  <c r="D82" i="18"/>
  <c r="D83" i="18"/>
  <c r="D102" i="18"/>
  <c r="D103" i="18"/>
  <c r="D104" i="18"/>
  <c r="D105" i="18"/>
  <c r="D106" i="18"/>
  <c r="D107" i="18"/>
  <c r="D108" i="18"/>
  <c r="D109" i="18"/>
  <c r="D110" i="18"/>
  <c r="D111" i="18"/>
  <c r="D112" i="18"/>
  <c r="D113" i="18"/>
  <c r="D148" i="18"/>
  <c r="D149" i="18"/>
  <c r="D164" i="18"/>
  <c r="D184" i="18"/>
  <c r="D185" i="18"/>
  <c r="D186" i="18"/>
  <c r="D187" i="18"/>
  <c r="D188" i="18"/>
  <c r="D189" i="18"/>
  <c r="D190" i="18"/>
  <c r="D207" i="18"/>
  <c r="D208" i="18"/>
  <c r="D209" i="18"/>
  <c r="D210" i="18"/>
  <c r="D211" i="18"/>
  <c r="D212" i="18"/>
  <c r="D213" i="18"/>
  <c r="D214" i="18"/>
  <c r="D215" i="18"/>
  <c r="D216" i="18"/>
  <c r="D217" i="18"/>
  <c r="D218" i="18"/>
  <c r="D46" i="17"/>
  <c r="D52" i="17"/>
  <c r="D54" i="17"/>
  <c r="D94" i="17"/>
  <c r="D96" i="17"/>
  <c r="D98" i="17"/>
  <c r="D100" i="17"/>
  <c r="D105" i="17"/>
  <c r="D109" i="17"/>
  <c r="D161" i="17"/>
  <c r="D164" i="17"/>
  <c r="D168" i="17"/>
  <c r="D172" i="17"/>
  <c r="D174" i="17"/>
  <c r="D179" i="17"/>
  <c r="D181" i="17"/>
  <c r="D183" i="17"/>
  <c r="D131" i="17"/>
  <c r="D133" i="17"/>
  <c r="D135" i="17"/>
  <c r="D138" i="17"/>
  <c r="D140" i="17"/>
  <c r="D142" i="17"/>
  <c r="D144" i="17"/>
  <c r="D148" i="17"/>
  <c r="D150" i="17"/>
  <c r="D152" i="17"/>
  <c r="D155" i="17"/>
  <c r="D157" i="17"/>
  <c r="D159" i="17"/>
  <c r="D171" i="17"/>
  <c r="D163" i="17"/>
  <c r="D145" i="17"/>
  <c r="D123" i="17"/>
  <c r="D120" i="17"/>
  <c r="D118" i="17"/>
  <c r="D112" i="17"/>
  <c r="D114" i="17"/>
  <c r="D108" i="17"/>
  <c r="D104" i="17"/>
  <c r="D65" i="17"/>
  <c r="D67" i="17"/>
  <c r="D69" i="17"/>
  <c r="D71" i="17"/>
  <c r="D73" i="17"/>
  <c r="D75" i="17"/>
  <c r="D77" i="17"/>
  <c r="D79" i="17"/>
  <c r="D80" i="17"/>
  <c r="D83" i="17"/>
  <c r="D85" i="17"/>
  <c r="D57" i="17"/>
  <c r="D55" i="17"/>
  <c r="D45" i="17"/>
  <c r="D44" i="17"/>
  <c r="D49" i="17"/>
  <c r="D47" i="17"/>
  <c r="D53" i="17"/>
  <c r="D56" i="17"/>
  <c r="D95" i="17"/>
  <c r="D97" i="17"/>
  <c r="D99" i="17"/>
  <c r="D101" i="17"/>
  <c r="D103" i="17"/>
  <c r="D110" i="17"/>
  <c r="D162" i="17"/>
  <c r="D166" i="17"/>
  <c r="D167" i="17"/>
  <c r="D170" i="17"/>
  <c r="D173" i="17"/>
  <c r="D175" i="17"/>
  <c r="D180" i="17"/>
  <c r="D182" i="17"/>
  <c r="D176" i="17"/>
  <c r="D132" i="17"/>
  <c r="D134" i="17"/>
  <c r="D137" i="17"/>
  <c r="D139" i="17"/>
  <c r="D143" i="17"/>
  <c r="D146" i="17"/>
  <c r="D149" i="17"/>
  <c r="D151" i="17"/>
  <c r="D153" i="17"/>
  <c r="D156" i="17"/>
  <c r="D158" i="17"/>
  <c r="D177" i="17"/>
  <c r="D169" i="17"/>
  <c r="D147" i="17"/>
  <c r="D124" i="17"/>
  <c r="D121" i="17"/>
  <c r="D119" i="17"/>
  <c r="D111" i="17"/>
  <c r="D113" i="17"/>
  <c r="D115" i="17"/>
  <c r="D107" i="17"/>
  <c r="D102" i="17"/>
  <c r="D66" i="17"/>
  <c r="D68" i="17"/>
  <c r="D70" i="17"/>
  <c r="D72" i="17"/>
  <c r="D74" i="17"/>
  <c r="D76" i="17"/>
  <c r="D78" i="17"/>
  <c r="D81" i="17"/>
  <c r="D82" i="17"/>
  <c r="D84" i="17"/>
  <c r="D86" i="17"/>
  <c r="D50" i="17"/>
  <c r="D106" i="17"/>
  <c r="D51" i="17"/>
  <c r="D48" i="17"/>
  <c r="D165" i="17"/>
  <c r="D141" i="17"/>
  <c r="J81" i="13" l="1"/>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 r="E2" i="13"/>
  <c r="E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D60" i="17"/>
  <c r="C7" i="17"/>
  <c r="D223" i="18"/>
  <c r="C215" i="18"/>
  <c r="D39" i="20"/>
  <c r="D36" i="20"/>
  <c r="C97" i="17"/>
  <c r="C152" i="20"/>
  <c r="D143" i="20"/>
  <c r="D54" i="18"/>
  <c r="C36" i="18"/>
  <c r="C58" i="18"/>
  <c r="C74" i="19"/>
  <c r="C105" i="18"/>
  <c r="C127" i="18"/>
  <c r="C33" i="19"/>
  <c r="C180" i="20"/>
  <c r="C5" i="19"/>
  <c r="D90" i="20"/>
  <c r="D39" i="18"/>
  <c r="C48" i="19"/>
  <c r="C111" i="20"/>
  <c r="C55" i="19"/>
  <c r="C145" i="17"/>
  <c r="C196" i="20"/>
  <c r="C74" i="20"/>
  <c r="C131" i="18"/>
  <c r="C105" i="17"/>
  <c r="C25" i="17"/>
  <c r="C170" i="17"/>
  <c r="C118" i="20"/>
  <c r="C132" i="18"/>
  <c r="D87" i="18"/>
  <c r="C70" i="20"/>
  <c r="C58" i="19"/>
  <c r="D129" i="17"/>
  <c r="C189" i="18"/>
  <c r="C3" i="19"/>
  <c r="D158" i="18"/>
  <c r="C23" i="20"/>
  <c r="C161" i="20"/>
  <c r="C175" i="20"/>
  <c r="C64" i="17"/>
  <c r="C13" i="20"/>
  <c r="C139" i="18"/>
  <c r="D41" i="17"/>
  <c r="D63" i="17"/>
  <c r="C136" i="18"/>
  <c r="C182" i="17"/>
  <c r="C163" i="18"/>
  <c r="C28" i="20"/>
  <c r="C81" i="20"/>
  <c r="D88" i="19"/>
  <c r="D40" i="19"/>
  <c r="D167" i="18"/>
  <c r="C144" i="20"/>
  <c r="C48" i="18"/>
  <c r="D85" i="19"/>
  <c r="C116" i="20"/>
  <c r="C20" i="20"/>
  <c r="C201" i="20"/>
  <c r="C4" i="18"/>
  <c r="C209" i="18"/>
  <c r="C162" i="17"/>
  <c r="C179" i="17"/>
  <c r="C207" i="18"/>
  <c r="D126" i="17"/>
  <c r="C76" i="18"/>
  <c r="C22" i="19"/>
  <c r="C43" i="19"/>
  <c r="D86" i="19"/>
  <c r="C27" i="17"/>
  <c r="C23" i="19"/>
  <c r="C25" i="20"/>
  <c r="C133" i="17"/>
  <c r="C197" i="18"/>
  <c r="C79" i="17"/>
  <c r="C54" i="17"/>
  <c r="C138" i="20"/>
  <c r="C103" i="18"/>
  <c r="D129" i="20"/>
  <c r="C150" i="18"/>
  <c r="D94" i="19"/>
  <c r="C110" i="20"/>
  <c r="C141" i="17"/>
  <c r="C51" i="17"/>
  <c r="D95" i="19"/>
  <c r="D67" i="19"/>
  <c r="C85" i="17"/>
  <c r="C17" i="18"/>
  <c r="C160" i="20"/>
  <c r="C217" i="18"/>
  <c r="D51" i="19"/>
  <c r="C27" i="20"/>
  <c r="C129" i="18"/>
  <c r="C98" i="20"/>
  <c r="C187" i="20"/>
  <c r="C199" i="20"/>
  <c r="C24" i="20"/>
  <c r="C106" i="17"/>
  <c r="D96" i="19"/>
  <c r="D103" i="20"/>
  <c r="D182" i="18"/>
  <c r="D191" i="18"/>
  <c r="D91" i="17"/>
  <c r="C84" i="18"/>
  <c r="C141" i="18"/>
  <c r="D180" i="18"/>
  <c r="C11" i="17"/>
  <c r="C56" i="19"/>
  <c r="C27" i="18"/>
  <c r="C21" i="19"/>
  <c r="C165" i="20"/>
  <c r="C111" i="17"/>
  <c r="D92" i="19"/>
  <c r="C147" i="17"/>
  <c r="D139" i="20"/>
  <c r="D78" i="19"/>
  <c r="D106" i="20"/>
  <c r="C122" i="20"/>
  <c r="C172" i="18"/>
  <c r="D153" i="18"/>
  <c r="D114" i="18"/>
  <c r="C27" i="19"/>
  <c r="C64" i="19"/>
  <c r="C95" i="18"/>
  <c r="C9" i="18"/>
  <c r="C9" i="17"/>
  <c r="C49" i="17"/>
  <c r="C89" i="19"/>
  <c r="C118" i="17"/>
  <c r="C120" i="17"/>
  <c r="C10" i="19"/>
  <c r="C42" i="20"/>
  <c r="D131" i="20"/>
  <c r="C78" i="20"/>
  <c r="D85" i="20"/>
  <c r="C156" i="20"/>
  <c r="C73" i="19"/>
  <c r="C103" i="17"/>
  <c r="C19" i="20"/>
  <c r="C128" i="18"/>
  <c r="C154" i="20"/>
  <c r="D94" i="20"/>
  <c r="C100" i="20"/>
  <c r="C18" i="19"/>
  <c r="D68" i="18"/>
  <c r="C139" i="17"/>
  <c r="D52" i="19"/>
  <c r="D76" i="19"/>
  <c r="C32" i="19"/>
  <c r="C80" i="18"/>
  <c r="D105" i="20"/>
  <c r="D92" i="17"/>
  <c r="C75" i="18"/>
  <c r="C8" i="19"/>
  <c r="C107" i="18"/>
  <c r="C55" i="18"/>
  <c r="D146" i="18"/>
  <c r="C11" i="19"/>
  <c r="C67" i="18"/>
  <c r="D50" i="19"/>
  <c r="C65" i="19"/>
  <c r="C32" i="20"/>
  <c r="C146" i="17"/>
  <c r="D75" i="19"/>
  <c r="C96" i="20"/>
  <c r="D91" i="19"/>
  <c r="C36" i="20"/>
  <c r="C178" i="20"/>
  <c r="C188" i="18"/>
  <c r="C172" i="20"/>
  <c r="C119" i="20"/>
  <c r="C3" i="18"/>
  <c r="C84" i="17"/>
  <c r="C8" i="17"/>
  <c r="C62" i="20"/>
  <c r="D83" i="20"/>
  <c r="C176" i="17"/>
  <c r="D53" i="19"/>
  <c r="C162" i="20"/>
  <c r="C3" i="17"/>
  <c r="D50" i="18"/>
  <c r="D51" i="20"/>
  <c r="D53" i="18"/>
  <c r="C164" i="20"/>
  <c r="C175" i="18"/>
  <c r="D38" i="18"/>
  <c r="D89" i="18"/>
  <c r="C25" i="19"/>
  <c r="D141" i="18"/>
  <c r="D181" i="18"/>
  <c r="C96" i="17"/>
  <c r="D190" i="20"/>
  <c r="D144" i="18"/>
  <c r="C124" i="17"/>
  <c r="C91" i="19"/>
  <c r="D119" i="18"/>
  <c r="C24" i="18"/>
  <c r="C50" i="17"/>
  <c r="C173" i="17"/>
  <c r="C26" i="20"/>
  <c r="C14" i="17"/>
  <c r="D150" i="18"/>
  <c r="D51" i="18"/>
  <c r="C26" i="17"/>
  <c r="C134" i="18"/>
  <c r="C164" i="17"/>
  <c r="C147" i="20"/>
  <c r="C184" i="18"/>
  <c r="C31" i="17"/>
  <c r="C65" i="17"/>
  <c r="C97" i="19"/>
  <c r="C124" i="18"/>
  <c r="C198" i="18"/>
  <c r="C150" i="17"/>
  <c r="D84" i="18"/>
  <c r="C77" i="17"/>
  <c r="C32" i="17"/>
  <c r="C7" i="19"/>
  <c r="C120" i="20"/>
  <c r="C218" i="18"/>
  <c r="C101" i="18"/>
  <c r="C80" i="17"/>
  <c r="C165" i="17"/>
  <c r="D97" i="18"/>
  <c r="C72" i="19"/>
  <c r="C205" i="20"/>
  <c r="D187" i="20"/>
  <c r="C149" i="20"/>
  <c r="C134" i="20"/>
  <c r="D87" i="20"/>
  <c r="C74" i="18"/>
  <c r="C20" i="17"/>
  <c r="C25" i="18"/>
  <c r="C33" i="18"/>
  <c r="D95" i="20"/>
  <c r="D59" i="20"/>
  <c r="D152" i="18"/>
  <c r="C26" i="19"/>
  <c r="C169" i="17"/>
  <c r="C73" i="17"/>
  <c r="C168" i="20"/>
  <c r="D140" i="20"/>
  <c r="C20" i="18"/>
  <c r="C31" i="19"/>
  <c r="C13" i="17"/>
  <c r="C57" i="19"/>
  <c r="C169" i="20"/>
  <c r="C153" i="20"/>
  <c r="C10" i="17"/>
  <c r="D70" i="18"/>
  <c r="D194" i="18"/>
  <c r="C164" i="18"/>
  <c r="C53" i="17"/>
  <c r="D179" i="18"/>
  <c r="C114" i="17"/>
  <c r="C158" i="20"/>
  <c r="C76" i="17"/>
  <c r="C206" i="18"/>
  <c r="C121" i="17"/>
  <c r="D71" i="19"/>
  <c r="D71" i="18"/>
  <c r="D222" i="18"/>
  <c r="D83" i="19"/>
  <c r="C18" i="17"/>
  <c r="C54" i="20"/>
  <c r="C44" i="19"/>
  <c r="C99" i="17"/>
  <c r="C123" i="17"/>
  <c r="C5" i="18"/>
  <c r="C42" i="19"/>
  <c r="D59" i="17"/>
  <c r="D43" i="17"/>
  <c r="C15" i="18"/>
  <c r="D128" i="20"/>
  <c r="D50" i="20"/>
  <c r="C45" i="17"/>
  <c r="C107" i="17"/>
  <c r="C12" i="18"/>
  <c r="D143" i="18"/>
  <c r="C9" i="19"/>
  <c r="C114" i="18"/>
  <c r="C166" i="17"/>
  <c r="C112" i="17"/>
  <c r="D196" i="18"/>
  <c r="C147" i="18"/>
  <c r="D79" i="19"/>
  <c r="C93" i="17"/>
  <c r="D68" i="19"/>
  <c r="C119" i="17"/>
  <c r="D168" i="18"/>
  <c r="D41" i="19"/>
  <c r="D57" i="20"/>
  <c r="C161" i="17"/>
  <c r="C57" i="17"/>
  <c r="C52" i="17"/>
  <c r="C5" i="17"/>
  <c r="D116" i="18"/>
  <c r="C173" i="20"/>
  <c r="C32" i="18"/>
  <c r="C208" i="18"/>
  <c r="C102" i="20"/>
  <c r="D165" i="18"/>
  <c r="D138" i="20"/>
  <c r="C49" i="18"/>
  <c r="C63" i="18"/>
  <c r="C177" i="20"/>
  <c r="C71" i="17"/>
  <c r="C163" i="17"/>
  <c r="D102" i="20"/>
  <c r="C112" i="20"/>
  <c r="C62" i="19"/>
  <c r="C59" i="19"/>
  <c r="C213" i="18"/>
  <c r="D39" i="19"/>
  <c r="C17" i="20"/>
  <c r="C81" i="17"/>
  <c r="C9" i="20"/>
  <c r="D189" i="20"/>
  <c r="C135" i="20"/>
  <c r="C94" i="18"/>
  <c r="D95" i="18"/>
  <c r="D84" i="19"/>
  <c r="D91" i="20"/>
  <c r="C11" i="18"/>
  <c r="C86" i="17"/>
  <c r="C66" i="19"/>
  <c r="C82" i="20"/>
  <c r="C3" i="20"/>
  <c r="C20" i="19"/>
  <c r="D192" i="20"/>
  <c r="C171" i="18"/>
  <c r="C108" i="20"/>
  <c r="D37" i="20"/>
  <c r="C33" i="17"/>
  <c r="C90" i="18"/>
  <c r="C47" i="17"/>
  <c r="C30" i="19"/>
  <c r="C153" i="17"/>
  <c r="D49" i="20"/>
  <c r="C59" i="18"/>
  <c r="D166" i="18"/>
  <c r="C67" i="17"/>
  <c r="C29" i="19"/>
  <c r="C136" i="20"/>
  <c r="C69" i="17"/>
  <c r="C123" i="18"/>
  <c r="C68" i="17"/>
  <c r="C7" i="20"/>
  <c r="C67" i="20"/>
  <c r="C174" i="20"/>
  <c r="C145" i="20"/>
  <c r="C179" i="20"/>
  <c r="D159" i="18"/>
  <c r="C181" i="17"/>
  <c r="D62" i="17"/>
  <c r="D127" i="17"/>
  <c r="C77" i="18"/>
  <c r="D40" i="18"/>
  <c r="D160" i="18"/>
  <c r="D56" i="20"/>
  <c r="D98" i="18"/>
  <c r="C17" i="17"/>
  <c r="C15" i="19"/>
  <c r="D39" i="17"/>
  <c r="C89" i="20"/>
  <c r="C24" i="17"/>
  <c r="D192" i="18"/>
  <c r="C214" i="18"/>
  <c r="C137" i="17"/>
  <c r="C156" i="18"/>
  <c r="C157" i="18"/>
  <c r="C12" i="20"/>
  <c r="C19" i="17"/>
  <c r="C44" i="20"/>
  <c r="C193" i="20"/>
  <c r="C46" i="18"/>
  <c r="D38" i="20"/>
  <c r="C138" i="17"/>
  <c r="C113" i="17"/>
  <c r="D89" i="17"/>
  <c r="C174" i="18"/>
  <c r="D66" i="19"/>
  <c r="D151" i="18"/>
  <c r="C101" i="17"/>
  <c r="C150" i="20"/>
  <c r="D162" i="18"/>
  <c r="C156" i="17"/>
  <c r="D115" i="18"/>
  <c r="C104" i="17"/>
  <c r="D55" i="20"/>
  <c r="C159" i="20"/>
  <c r="C130" i="18"/>
  <c r="D99" i="18"/>
  <c r="C61" i="20"/>
  <c r="C180" i="17"/>
  <c r="C101" i="20"/>
  <c r="C14" i="19"/>
  <c r="C137" i="20"/>
  <c r="C121" i="20"/>
  <c r="C117" i="20"/>
  <c r="C157" i="20"/>
  <c r="C8" i="18"/>
  <c r="C133" i="20"/>
  <c r="C7" i="18"/>
  <c r="D40" i="17"/>
  <c r="D220" i="18"/>
  <c r="D73" i="18"/>
  <c r="C16" i="18"/>
  <c r="D130" i="17"/>
  <c r="D117" i="18"/>
  <c r="C200" i="18"/>
  <c r="C146" i="20"/>
  <c r="C155" i="18"/>
  <c r="D48" i="20"/>
  <c r="D177" i="18"/>
  <c r="C75" i="17"/>
  <c r="C123" i="20"/>
  <c r="C198" i="20"/>
  <c r="D142" i="20"/>
  <c r="D65" i="20"/>
  <c r="C82" i="17"/>
  <c r="C111" i="18"/>
  <c r="D77" i="19"/>
  <c r="C197" i="20"/>
  <c r="C185" i="20"/>
  <c r="C47" i="18"/>
  <c r="C98" i="19"/>
  <c r="C21" i="17"/>
  <c r="C30" i="18"/>
  <c r="C18" i="18"/>
  <c r="D61" i="17"/>
  <c r="C191" i="18"/>
  <c r="C199" i="18"/>
  <c r="C170" i="20"/>
  <c r="D90" i="17"/>
  <c r="C212" i="18"/>
  <c r="C28" i="19"/>
  <c r="C122" i="18"/>
  <c r="D154" i="18"/>
  <c r="C62" i="18"/>
  <c r="D86" i="20"/>
  <c r="C46" i="19"/>
  <c r="C10" i="20"/>
  <c r="C165" i="18"/>
  <c r="C127" i="20"/>
  <c r="C29" i="20"/>
  <c r="C45" i="18"/>
  <c r="C14" i="18"/>
  <c r="D74" i="19"/>
  <c r="C73" i="20"/>
  <c r="C109" i="20"/>
  <c r="D35" i="17"/>
  <c r="C4" i="20"/>
  <c r="C55" i="17"/>
  <c r="D82" i="20"/>
  <c r="C45" i="19"/>
  <c r="C36" i="19"/>
  <c r="C16" i="20"/>
  <c r="C157" i="17"/>
  <c r="C71" i="20"/>
  <c r="C46" i="20"/>
  <c r="C80" i="20"/>
  <c r="C42" i="18"/>
  <c r="C54" i="19"/>
  <c r="D93" i="20"/>
  <c r="D88" i="17"/>
  <c r="D188" i="20"/>
  <c r="C18" i="20"/>
  <c r="D58" i="20"/>
  <c r="C43" i="18"/>
  <c r="C148" i="17"/>
  <c r="C80" i="19"/>
  <c r="C5" i="20"/>
  <c r="C152" i="17"/>
  <c r="D93" i="19"/>
  <c r="C190" i="18"/>
  <c r="C126" i="18"/>
  <c r="C72" i="17"/>
  <c r="C65" i="18"/>
  <c r="C124" i="20"/>
  <c r="C48" i="17"/>
  <c r="D161" i="18"/>
  <c r="D92" i="20"/>
  <c r="D200" i="18"/>
  <c r="C194" i="20"/>
  <c r="D145" i="18"/>
  <c r="C125" i="18"/>
  <c r="C91" i="18"/>
  <c r="D37" i="18"/>
  <c r="C115" i="17"/>
  <c r="C148" i="20"/>
  <c r="C28" i="17"/>
  <c r="C186" i="20"/>
  <c r="C83" i="18"/>
  <c r="C177" i="17"/>
  <c r="C225" i="18"/>
  <c r="C33" i="20"/>
  <c r="C203" i="20"/>
  <c r="C171" i="17"/>
  <c r="C81" i="18"/>
  <c r="D52" i="20"/>
  <c r="C211" i="18"/>
  <c r="C149" i="17"/>
  <c r="C149" i="18"/>
  <c r="D41" i="18"/>
  <c r="C106" i="18"/>
  <c r="D128" i="17"/>
  <c r="C97" i="20"/>
  <c r="C31" i="20"/>
  <c r="C200" i="20"/>
  <c r="C140" i="17"/>
  <c r="C83" i="17"/>
  <c r="C177" i="18"/>
  <c r="C61" i="18"/>
  <c r="C202" i="20"/>
  <c r="C66" i="17"/>
  <c r="D64" i="20"/>
  <c r="C88" i="20"/>
  <c r="C13" i="18"/>
  <c r="C176" i="18"/>
  <c r="D141" i="20"/>
  <c r="C47" i="20"/>
  <c r="C168" i="17"/>
  <c r="C12" i="17"/>
  <c r="C61" i="19"/>
  <c r="C29" i="18"/>
  <c r="C102" i="17"/>
  <c r="C135" i="18"/>
  <c r="D42" i="17"/>
  <c r="C172" i="17"/>
  <c r="C175" i="17"/>
  <c r="C104" i="18"/>
  <c r="C95" i="17"/>
  <c r="C79" i="20"/>
  <c r="C46" i="17"/>
  <c r="C163" i="20"/>
  <c r="C53" i="20"/>
  <c r="C140" i="18"/>
  <c r="C155" i="17"/>
  <c r="C216" i="18"/>
  <c r="C60" i="19"/>
  <c r="D169" i="18"/>
  <c r="D202" i="18"/>
  <c r="C26" i="18"/>
  <c r="D195" i="18"/>
  <c r="C204" i="20"/>
  <c r="D203" i="18"/>
  <c r="D37" i="19"/>
  <c r="D52" i="18"/>
  <c r="C81" i="19"/>
  <c r="C60" i="18"/>
  <c r="D86" i="18"/>
  <c r="C69" i="20"/>
  <c r="C174" i="17"/>
  <c r="C68" i="18"/>
  <c r="D201" i="18"/>
  <c r="C173" i="18"/>
  <c r="D36" i="18"/>
  <c r="D100" i="18"/>
  <c r="C72" i="20"/>
  <c r="C4" i="19"/>
  <c r="C108" i="17"/>
  <c r="C16" i="17"/>
  <c r="C15" i="17"/>
  <c r="C100" i="17"/>
  <c r="C210" i="18"/>
  <c r="D191" i="20"/>
  <c r="C92" i="18"/>
  <c r="C144" i="17"/>
  <c r="D41" i="20"/>
  <c r="C183" i="18"/>
  <c r="D204" i="18"/>
  <c r="C10" i="18"/>
  <c r="C60" i="20"/>
  <c r="D63" i="20"/>
  <c r="C98" i="17"/>
  <c r="D72" i="18"/>
  <c r="D69" i="18"/>
  <c r="D193" i="18"/>
  <c r="C63" i="19"/>
  <c r="C28" i="18"/>
  <c r="C23" i="18"/>
  <c r="C151" i="20"/>
  <c r="C19" i="19"/>
  <c r="D118" i="18"/>
  <c r="C19" i="18"/>
  <c r="D69" i="19"/>
  <c r="C30" i="20"/>
  <c r="C22" i="20"/>
  <c r="C17" i="19"/>
  <c r="D66" i="20"/>
  <c r="C143" i="17"/>
  <c r="D84" i="20"/>
  <c r="C171" i="20"/>
  <c r="D130" i="20"/>
  <c r="D62" i="20"/>
  <c r="D178" i="18"/>
  <c r="C155" i="20"/>
  <c r="C94" i="17"/>
  <c r="D40" i="20"/>
  <c r="C78" i="17"/>
  <c r="D170" i="18"/>
  <c r="C22" i="17"/>
  <c r="C11" i="20"/>
  <c r="C8" i="20"/>
  <c r="C113" i="20"/>
  <c r="C185" i="18"/>
  <c r="C90" i="20"/>
  <c r="C142" i="17"/>
  <c r="D88" i="18"/>
  <c r="D38" i="19"/>
  <c r="C30" i="17"/>
  <c r="D142" i="18"/>
  <c r="C176" i="20"/>
  <c r="C43" i="20"/>
  <c r="D49" i="18"/>
  <c r="C137" i="18"/>
  <c r="D48" i="19"/>
  <c r="C74" i="17"/>
  <c r="C16" i="19"/>
  <c r="C83" i="19"/>
  <c r="C24" i="19"/>
  <c r="C4" i="17"/>
  <c r="D132" i="20"/>
  <c r="C31" i="18"/>
  <c r="D87" i="19"/>
  <c r="C224" i="18"/>
  <c r="C64" i="18"/>
  <c r="D70" i="19"/>
  <c r="C15" i="20"/>
  <c r="C75" i="20"/>
  <c r="C183" i="17"/>
  <c r="C13" i="19"/>
  <c r="C44" i="18"/>
  <c r="D157" i="18"/>
  <c r="C109" i="17"/>
  <c r="C79" i="18"/>
  <c r="D47" i="20"/>
  <c r="C55" i="20"/>
  <c r="C70" i="17"/>
  <c r="D96" i="18"/>
  <c r="C99" i="20"/>
  <c r="C120" i="18"/>
  <c r="C12" i="19"/>
  <c r="C102" i="18"/>
  <c r="D104" i="20"/>
  <c r="C138" i="18"/>
  <c r="C166" i="20"/>
  <c r="C78" i="18"/>
  <c r="C82" i="18"/>
  <c r="C23" i="17"/>
  <c r="C183" i="20"/>
  <c r="D127" i="20"/>
  <c r="D107" i="20"/>
  <c r="C186" i="18"/>
  <c r="D85" i="18"/>
  <c r="C76" i="20"/>
  <c r="C66" i="18"/>
  <c r="C182" i="20"/>
  <c r="C21" i="20"/>
  <c r="D221" i="18"/>
  <c r="D205" i="18"/>
  <c r="C151" i="17"/>
  <c r="C110" i="17"/>
  <c r="D36" i="19"/>
  <c r="C44" i="17"/>
  <c r="C167" i="17"/>
  <c r="C21" i="18"/>
  <c r="C29" i="17"/>
  <c r="C14" i="20"/>
  <c r="C22" i="18"/>
  <c r="C167" i="20"/>
  <c r="D187" i="17"/>
  <c r="D198" i="17"/>
  <c r="G103" i="19"/>
  <c r="G231" i="18"/>
  <c r="G237" i="18"/>
  <c r="G235" i="18"/>
  <c r="D104" i="19"/>
  <c r="D110" i="19"/>
  <c r="D107" i="19"/>
  <c r="G104" i="19"/>
  <c r="G111" i="19"/>
  <c r="G236" i="18"/>
  <c r="G230" i="18"/>
  <c r="G234" i="18"/>
  <c r="G110" i="19"/>
  <c r="G240" i="18"/>
  <c r="D210" i="20"/>
  <c r="G209" i="20"/>
  <c r="J7" i="4"/>
  <c r="K50" i="13" a="1"/>
  <c r="K23" i="13" a="1"/>
  <c r="F19" i="13" a="1"/>
  <c r="K75" i="13" a="1"/>
  <c r="K25" i="13" a="1"/>
  <c r="F8" i="13" a="1"/>
  <c r="K44" i="13" a="1"/>
  <c r="J6" i="4"/>
  <c r="F16" i="13" a="1"/>
  <c r="K77" i="13" a="1"/>
  <c r="F28" i="13" a="1"/>
  <c r="F31" i="13" a="1"/>
  <c r="F5" i="4"/>
  <c r="K12" i="13" a="1"/>
  <c r="K4" i="13" a="1"/>
  <c r="F14" i="13" a="1"/>
  <c r="D213" i="20"/>
  <c r="H9" i="4"/>
  <c r="K16" i="13" a="1"/>
  <c r="F10" i="13" a="1"/>
  <c r="K46" i="13" a="1"/>
  <c r="K9" i="13" a="1"/>
  <c r="J11" i="4"/>
  <c r="K60" i="13" a="1"/>
  <c r="K27" i="13" a="1"/>
  <c r="K76" i="13" a="1"/>
  <c r="F34" i="13" a="1"/>
  <c r="K37" i="13" a="1"/>
  <c r="F7" i="13" a="1"/>
  <c r="K67" i="13" a="1"/>
  <c r="H12" i="4"/>
  <c r="J16" i="4"/>
  <c r="K22" i="13" a="1"/>
  <c r="F12" i="13" a="1"/>
  <c r="K38" i="13" a="1"/>
  <c r="H6" i="4"/>
  <c r="K59" i="13" a="1"/>
  <c r="K41" i="13" a="1"/>
  <c r="D215" i="20"/>
  <c r="F23" i="13" a="1"/>
  <c r="K17" i="13" a="1"/>
  <c r="F21" i="13" a="1"/>
  <c r="F27" i="13" a="1"/>
  <c r="K47" i="13" a="1"/>
  <c r="K52" i="13" a="1"/>
  <c r="F25" i="13" a="1"/>
  <c r="K79" i="13" a="1"/>
  <c r="K64" i="13" a="1"/>
  <c r="K19" i="13" a="1"/>
  <c r="K7" i="13" a="1"/>
  <c r="K32" i="13" a="1"/>
  <c r="F45" i="13" a="1"/>
  <c r="J12" i="4"/>
  <c r="K78" i="13" a="1"/>
  <c r="F5" i="13" a="1"/>
  <c r="K45" i="13" a="1"/>
  <c r="D216" i="20"/>
  <c r="G219" i="20"/>
  <c r="F13" i="13" a="1"/>
  <c r="F29" i="13" a="1"/>
  <c r="K14" i="13" a="1"/>
  <c r="K63" i="13" a="1"/>
  <c r="K3" i="13" a="1"/>
  <c r="K11" i="13" a="1"/>
  <c r="K31" i="13" a="1"/>
  <c r="F24" i="13" a="1"/>
  <c r="K81" i="13" a="1"/>
  <c r="K42" i="13" a="1"/>
  <c r="K53" i="13" a="1"/>
  <c r="K57" i="13" a="1"/>
  <c r="G187" i="17"/>
  <c r="G198" i="17" s="1"/>
  <c r="G188" i="17"/>
  <c r="G192" i="17"/>
  <c r="G197" i="17"/>
  <c r="G194" i="17"/>
  <c r="D188" i="17"/>
  <c r="D191" i="17"/>
  <c r="D193" i="17"/>
  <c r="D197" i="17"/>
  <c r="G113" i="19"/>
  <c r="D230" i="18"/>
  <c r="G5" i="4" s="1"/>
  <c r="D240" i="18"/>
  <c r="D103" i="19"/>
  <c r="D113" i="19"/>
  <c r="D109" i="19"/>
  <c r="D111" i="19"/>
  <c r="G114" i="19"/>
  <c r="G109" i="19"/>
  <c r="G108" i="19"/>
  <c r="G238" i="18"/>
  <c r="D231" i="18"/>
  <c r="D235" i="18"/>
  <c r="G107" i="19"/>
  <c r="G241" i="18"/>
  <c r="D234" i="18"/>
  <c r="D237" i="18"/>
  <c r="D217" i="20"/>
  <c r="G220" i="20"/>
  <c r="F30" i="13" a="1"/>
  <c r="F20" i="13" a="1"/>
  <c r="F9" i="13" a="1"/>
  <c r="K6" i="13" a="1"/>
  <c r="F15" i="4"/>
  <c r="F4" i="13" a="1"/>
  <c r="K71" i="13" a="1"/>
  <c r="I6" i="4"/>
  <c r="F33" i="13" a="1"/>
  <c r="K21" i="13" a="1"/>
  <c r="K72" i="13" a="1"/>
  <c r="K70" i="13" a="1"/>
  <c r="K2" i="13" a="1"/>
  <c r="F9" i="4"/>
  <c r="K28" i="13" a="1"/>
  <c r="K62" i="13" a="1"/>
  <c r="F36" i="13" a="1"/>
  <c r="D209" i="20"/>
  <c r="D219" i="20" s="1"/>
  <c r="H15" i="4"/>
  <c r="H13" i="4"/>
  <c r="J5" i="4"/>
  <c r="F11" i="13" a="1"/>
  <c r="F22" i="13" a="1"/>
  <c r="K73" i="13" a="1"/>
  <c r="F11" i="4"/>
  <c r="J13" i="4"/>
  <c r="K74" i="13" a="1"/>
  <c r="F2" i="13" a="1"/>
  <c r="K35" i="13" a="1"/>
  <c r="K33" i="13" a="1"/>
  <c r="K5" i="13" a="1"/>
  <c r="K39" i="13" a="1"/>
  <c r="K58" i="13" a="1"/>
  <c r="I5" i="4"/>
  <c r="K34" i="13" a="1"/>
  <c r="K29" i="13" a="1"/>
  <c r="K61" i="13" a="1"/>
  <c r="F26" i="13" a="1"/>
  <c r="K24" i="13" a="1"/>
  <c r="D214" i="20"/>
  <c r="G210" i="20"/>
  <c r="J9" i="4"/>
  <c r="F18" i="13" a="1"/>
  <c r="K18" i="13" a="1"/>
  <c r="F3" i="13" a="1"/>
  <c r="K48" i="13" a="1"/>
  <c r="F35" i="13" a="1"/>
  <c r="K36" i="13" a="1"/>
  <c r="K8" i="13" a="1"/>
  <c r="K65" i="13" a="1"/>
  <c r="K15" i="13" a="1"/>
  <c r="K10" i="13" a="1"/>
  <c r="K55" i="13" a="1"/>
  <c r="F17" i="13" a="1"/>
  <c r="K13" i="13" a="1"/>
  <c r="F15" i="13" a="1"/>
  <c r="K43" i="13" a="1"/>
  <c r="F6" i="13" a="1"/>
  <c r="D220" i="20"/>
  <c r="G213" i="20"/>
  <c r="J15" i="4"/>
  <c r="K56" i="13" a="1"/>
  <c r="F6" i="4"/>
  <c r="K68" i="13" a="1"/>
  <c r="H11" i="4"/>
  <c r="J10" i="4"/>
  <c r="K26" i="13" a="1"/>
  <c r="K69" i="13" a="1"/>
  <c r="K80" i="13" a="1"/>
  <c r="K40" i="13" a="1"/>
  <c r="I15" i="4"/>
  <c r="K20" i="13" a="1"/>
  <c r="F16" i="4"/>
  <c r="K54" i="13" a="1"/>
  <c r="K51" i="13" a="1"/>
  <c r="F32" i="13" a="1"/>
  <c r="G6" i="4"/>
  <c r="G216" i="20"/>
  <c r="K49" i="13" a="1"/>
  <c r="K30" i="13" a="1"/>
  <c r="K66" i="13" a="1"/>
  <c r="G195" i="17"/>
  <c r="G193" i="17"/>
  <c r="G191" i="17"/>
  <c r="D194" i="17"/>
  <c r="F12" i="4" s="1"/>
  <c r="D192" i="17"/>
  <c r="F10" i="4" s="1"/>
  <c r="D195" i="17"/>
  <c r="F13" i="4" s="1"/>
  <c r="H5" i="4"/>
  <c r="D114" i="19"/>
  <c r="H16" i="4" s="1"/>
  <c r="D238" i="18"/>
  <c r="D236" i="18"/>
  <c r="G215" i="20"/>
  <c r="G217" i="20"/>
  <c r="G214" i="20"/>
  <c r="J107" i="19" l="1" a="1"/>
  <c r="J107" i="19" s="1"/>
  <c r="J215" i="20" a="1"/>
  <c r="J215" i="20" s="1"/>
  <c r="J216" i="20" a="1"/>
  <c r="J216" i="20" s="1"/>
  <c r="J234" i="18" a="1"/>
  <c r="J234" i="18" s="1"/>
  <c r="J235" i="18" a="1"/>
  <c r="J235" i="18" s="1"/>
  <c r="J197" i="17" a="1"/>
  <c r="J197" i="17" s="1"/>
  <c r="K33" i="13"/>
  <c r="K51" i="13"/>
  <c r="J111" i="19" a="1"/>
  <c r="J111" i="19" s="1"/>
  <c r="J110" i="19" a="1"/>
  <c r="J110" i="19" s="1"/>
  <c r="J194" i="17" a="1"/>
  <c r="J194" i="17" s="1"/>
  <c r="J193" i="17" a="1"/>
  <c r="J193" i="17" s="1"/>
  <c r="J192" i="17" a="1"/>
  <c r="J192" i="17" s="1"/>
  <c r="F6" i="13"/>
  <c r="F31" i="13"/>
  <c r="K3" i="13"/>
  <c r="F27" i="13"/>
  <c r="F17" i="13"/>
  <c r="K58" i="13"/>
  <c r="K8" i="13"/>
  <c r="J109" i="19" a="1"/>
  <c r="J109" i="19" s="1"/>
  <c r="J217" i="20" a="1"/>
  <c r="J217" i="20" s="1"/>
  <c r="K81" i="13"/>
  <c r="K63" i="13"/>
  <c r="K64" i="13"/>
  <c r="F45" i="13"/>
  <c r="K44" i="13"/>
  <c r="K6" i="13"/>
  <c r="J104" i="19"/>
  <c r="F34" i="13"/>
  <c r="K30" i="13"/>
  <c r="K41" i="13"/>
  <c r="K9" i="13"/>
  <c r="K79" i="13"/>
  <c r="K2" i="13"/>
  <c r="F33" i="13"/>
  <c r="F3" i="13"/>
  <c r="K67" i="13"/>
  <c r="K45" i="13"/>
  <c r="K68" i="13"/>
  <c r="K40" i="13"/>
  <c r="K55" i="13"/>
  <c r="F14" i="13"/>
  <c r="F19" i="13"/>
  <c r="F36" i="13"/>
  <c r="K54" i="13"/>
  <c r="K35" i="13"/>
  <c r="K73" i="13"/>
  <c r="K61" i="13"/>
  <c r="F28" i="13"/>
  <c r="K36" i="13"/>
  <c r="F21" i="13"/>
  <c r="K43" i="13"/>
  <c r="K39" i="13"/>
  <c r="F24" i="13"/>
  <c r="K14" i="13"/>
  <c r="K66" i="13"/>
  <c r="J214" i="20" a="1"/>
  <c r="J214" i="20" s="1"/>
  <c r="J213" i="20" a="1"/>
  <c r="J213" i="20" s="1"/>
  <c r="F8" i="13"/>
  <c r="J210" i="20"/>
  <c r="K4" i="13"/>
  <c r="K32" i="13"/>
  <c r="K76" i="13"/>
  <c r="F9" i="13"/>
  <c r="K38" i="13"/>
  <c r="K53" i="13"/>
  <c r="F25" i="13"/>
  <c r="K46" i="13"/>
  <c r="F5" i="13"/>
  <c r="K70" i="13"/>
  <c r="K80" i="13"/>
  <c r="K18" i="13"/>
  <c r="F32" i="13"/>
  <c r="D6" i="4" a="1"/>
  <c r="D6" i="4" s="1"/>
  <c r="J191" i="17" a="1"/>
  <c r="J191" i="17" s="1"/>
  <c r="J195" i="17" a="1"/>
  <c r="J195" i="17" s="1"/>
  <c r="F2" i="13"/>
  <c r="K10" i="13"/>
  <c r="K29" i="13"/>
  <c r="K23" i="13"/>
  <c r="F35" i="13"/>
  <c r="F15" i="13"/>
  <c r="F22" i="13"/>
  <c r="K31" i="13"/>
  <c r="K77" i="13"/>
  <c r="K24" i="13"/>
  <c r="K17" i="13"/>
  <c r="K71" i="13"/>
  <c r="F7" i="13"/>
  <c r="K62" i="13"/>
  <c r="F29" i="13"/>
  <c r="K27" i="13"/>
  <c r="K7" i="13"/>
  <c r="F12" i="13"/>
  <c r="F20" i="13"/>
  <c r="K52" i="13"/>
  <c r="K49" i="13"/>
  <c r="K78" i="13"/>
  <c r="F10" i="13"/>
  <c r="K69" i="13"/>
  <c r="K72" i="13"/>
  <c r="K57" i="13"/>
  <c r="K5" i="13"/>
  <c r="K12" i="13"/>
  <c r="K56" i="13"/>
  <c r="K74" i="13"/>
  <c r="K15" i="13"/>
  <c r="K34" i="13"/>
  <c r="K50" i="13"/>
  <c r="K25" i="13"/>
  <c r="K20" i="13"/>
  <c r="K13" i="13"/>
  <c r="F11" i="13"/>
  <c r="K11" i="13"/>
  <c r="J188" i="17"/>
  <c r="F16" i="13"/>
  <c r="K48" i="13"/>
  <c r="F18" i="13"/>
  <c r="K59" i="13"/>
  <c r="K37" i="13"/>
  <c r="K60" i="13"/>
  <c r="F13" i="13"/>
  <c r="K28" i="13"/>
  <c r="K19" i="13"/>
  <c r="F4" i="13"/>
  <c r="F30" i="13"/>
  <c r="K22" i="13"/>
  <c r="K42" i="13"/>
  <c r="K26" i="13"/>
  <c r="J236" i="18" a="1"/>
  <c r="J236" i="18" s="1"/>
  <c r="J238" i="18" a="1"/>
  <c r="J238" i="18" s="1"/>
  <c r="J237" i="18" a="1"/>
  <c r="J237" i="18" s="1"/>
  <c r="J219" i="20" a="1"/>
  <c r="J219" i="20" s="1"/>
  <c r="J113" i="19" a="1"/>
  <c r="J113" i="19" s="1"/>
  <c r="J240" i="18" a="1"/>
  <c r="J240" i="18" s="1"/>
  <c r="J198" i="17" a="1"/>
  <c r="J198" i="17" s="1"/>
  <c r="K21" i="13"/>
  <c r="J220" i="20" a="1"/>
  <c r="J220" i="20" s="1"/>
  <c r="J114" i="19" a="1"/>
  <c r="J114" i="19" s="1"/>
  <c r="J231" i="18"/>
  <c r="K16" i="13"/>
  <c r="D5" i="4" a="1"/>
  <c r="D5" i="4" s="1"/>
  <c r="J187" i="17"/>
  <c r="K47" i="13"/>
  <c r="K65" i="13"/>
  <c r="F26" i="13"/>
  <c r="F23" i="13"/>
  <c r="K75" i="13"/>
  <c r="J103" i="19"/>
  <c r="J209" i="20"/>
  <c r="J230" i="18"/>
  <c r="I10" i="4"/>
  <c r="G189" i="17"/>
  <c r="G232" i="18"/>
  <c r="D241" i="18"/>
  <c r="I16" i="4"/>
  <c r="C131" i="17"/>
  <c r="G11" i="4"/>
  <c r="I30" i="4"/>
  <c r="G15" i="4"/>
  <c r="H26" i="4"/>
  <c r="G29" i="4"/>
  <c r="G27" i="4"/>
  <c r="I25" i="4"/>
  <c r="H20" i="4"/>
  <c r="H29" i="4"/>
  <c r="F19" i="4"/>
  <c r="F23" i="4"/>
  <c r="C93" i="18"/>
  <c r="G10" i="4"/>
  <c r="I19" i="4"/>
  <c r="H25" i="4"/>
  <c r="G23" i="4"/>
  <c r="G13" i="4"/>
  <c r="I24" i="4"/>
  <c r="H19" i="4"/>
  <c r="H30" i="4"/>
  <c r="G211" i="20"/>
  <c r="F30" i="4"/>
  <c r="C132" i="17"/>
  <c r="F24" i="4"/>
  <c r="H23" i="4"/>
  <c r="D108" i="19"/>
  <c r="D189" i="17"/>
  <c r="D105" i="19"/>
  <c r="G105" i="19"/>
  <c r="D232" i="18"/>
  <c r="D211" i="20"/>
  <c r="I20" i="4"/>
  <c r="I13" i="4"/>
  <c r="I29" i="4"/>
  <c r="I26" i="4"/>
  <c r="G24" i="4"/>
  <c r="G25" i="4"/>
  <c r="F29" i="4"/>
  <c r="G26" i="4"/>
  <c r="I23" i="4"/>
  <c r="G19" i="4"/>
  <c r="C148" i="18"/>
  <c r="C134" i="17"/>
  <c r="I7" i="4"/>
  <c r="F27" i="4"/>
  <c r="F7" i="4"/>
  <c r="I11" i="4"/>
  <c r="I9" i="4"/>
  <c r="G12" i="4"/>
  <c r="F25" i="4"/>
  <c r="F26" i="4"/>
  <c r="G9" i="4"/>
  <c r="H27" i="4"/>
  <c r="F20" i="4"/>
  <c r="I27" i="4"/>
  <c r="C135" i="17"/>
  <c r="I12" i="4"/>
  <c r="G20" i="4"/>
  <c r="H10" i="4"/>
  <c r="J108" i="19" l="1" a="1"/>
  <c r="J108" i="19" s="1"/>
  <c r="D9" i="4" a="1"/>
  <c r="D9" i="4" s="1"/>
  <c r="D10" i="4" a="1"/>
  <c r="D10" i="4" s="1"/>
  <c r="J241" i="18" a="1"/>
  <c r="J241" i="18" s="1"/>
  <c r="D15" i="4" a="1"/>
  <c r="D15" i="4" s="1"/>
  <c r="D19" i="4" a="1"/>
  <c r="D19" i="4" s="1"/>
  <c r="J232" i="18"/>
  <c r="J189" i="17"/>
  <c r="D23" i="4" a="1"/>
  <c r="D23" i="4" s="1"/>
  <c r="J105" i="19"/>
  <c r="D26" i="4" a="1"/>
  <c r="D26" i="4" s="1"/>
  <c r="D20" i="4" a="1"/>
  <c r="D20" i="4" s="1"/>
  <c r="D27" i="4" a="1"/>
  <c r="D27" i="4" s="1"/>
  <c r="J211" i="20"/>
  <c r="D13" i="4" a="1"/>
  <c r="D13" i="4" s="1"/>
  <c r="E13" i="4" s="1"/>
  <c r="D25" i="4" a="1"/>
  <c r="D25" i="4" s="1"/>
  <c r="D29" i="4" a="1"/>
  <c r="D29" i="4" s="1"/>
  <c r="E29" i="4" s="1"/>
  <c r="D12" i="4" a="1"/>
  <c r="D12" i="4" s="1"/>
  <c r="D11" i="4" a="1"/>
  <c r="D11" i="4" s="1"/>
  <c r="E11" i="4" s="1"/>
  <c r="K219" i="20"/>
  <c r="K197" i="17"/>
  <c r="K220" i="20"/>
  <c r="K198" i="17"/>
  <c r="K236" i="18"/>
  <c r="K217" i="20"/>
  <c r="K215" i="20"/>
  <c r="K216" i="20"/>
  <c r="K214" i="20"/>
  <c r="K213" i="20"/>
  <c r="K194" i="17"/>
  <c r="E10" i="4"/>
  <c r="K240" i="18"/>
  <c r="K241" i="18"/>
  <c r="K114" i="19"/>
  <c r="E15" i="4"/>
  <c r="E6" i="4"/>
  <c r="K238" i="18"/>
  <c r="K235" i="18"/>
  <c r="K234" i="18"/>
  <c r="K237" i="18"/>
  <c r="K113" i="19"/>
  <c r="K192" i="17"/>
  <c r="K195" i="17"/>
  <c r="K191" i="17"/>
  <c r="E12" i="4"/>
  <c r="E9" i="4"/>
  <c r="K108" i="19"/>
  <c r="K111" i="19"/>
  <c r="K110" i="19"/>
  <c r="K109" i="19"/>
  <c r="K107" i="19"/>
  <c r="K193" i="17"/>
  <c r="H24" i="4"/>
  <c r="F21" i="4"/>
  <c r="G7" i="4"/>
  <c r="I21" i="4"/>
  <c r="H21" i="4"/>
  <c r="H7" i="4"/>
  <c r="G16" i="4"/>
  <c r="G30" i="4"/>
  <c r="G21" i="4"/>
  <c r="D24" i="4" l="1" a="1"/>
  <c r="D24" i="4" s="1"/>
  <c r="D30" i="4" a="1"/>
  <c r="D30" i="4" s="1"/>
  <c r="D16" i="4" a="1"/>
  <c r="D16" i="4" s="1"/>
  <c r="E16" i="4" s="1"/>
  <c r="D7" i="4" a="1"/>
  <c r="D7" i="4" s="1"/>
  <c r="E7" i="4" s="1"/>
  <c r="D21" i="4" a="1"/>
  <c r="D21" i="4" s="1"/>
  <c r="E21" i="4" s="1"/>
  <c r="E30" i="4"/>
  <c r="E20" i="4"/>
  <c r="E23" i="4"/>
  <c r="E26" i="4"/>
  <c r="E25" i="4"/>
  <c r="E24" i="4"/>
  <c r="E27" i="4"/>
</calcChain>
</file>

<file path=xl/comments1.xml><?xml version="1.0" encoding="utf-8"?>
<comments xmlns="http://schemas.openxmlformats.org/spreadsheetml/2006/main">
  <authors>
    <author xml:space="preserve"> </author>
    <author>Rolando Caparas</author>
  </authors>
  <commentList>
    <comment ref="B2" authorId="0">
      <text>
        <r>
          <rPr>
            <b/>
            <sz val="8"/>
            <color indexed="81"/>
            <rFont val="Tahoma"/>
            <family val="2"/>
          </rPr>
          <t>Manufacturer:Type: Model</t>
        </r>
      </text>
    </comment>
    <comment ref="C2" authorId="0">
      <text>
        <r>
          <rPr>
            <b/>
            <sz val="8"/>
            <color indexed="81"/>
            <rFont val="Tahoma"/>
            <family val="2"/>
          </rPr>
          <t>Type: Revision</t>
        </r>
      </text>
    </comment>
    <comment ref="D2" authorId="0">
      <text>
        <r>
          <rPr>
            <b/>
            <sz val="8"/>
            <color indexed="81"/>
            <rFont val="Tahoma"/>
            <family val="2"/>
          </rPr>
          <t>Type: Revision</t>
        </r>
      </text>
    </comment>
    <comment ref="E2" authorId="0">
      <text>
        <r>
          <rPr>
            <b/>
            <sz val="8"/>
            <color indexed="81"/>
            <rFont val="Tahoma"/>
            <family val="2"/>
          </rPr>
          <t>Manufacturer:Type: Model</t>
        </r>
      </text>
    </comment>
    <comment ref="F2" authorId="0">
      <text>
        <r>
          <rPr>
            <b/>
            <sz val="8"/>
            <color indexed="81"/>
            <rFont val="Tahoma"/>
            <family val="2"/>
          </rPr>
          <t>Type: Revision</t>
        </r>
      </text>
    </comment>
    <comment ref="G2" authorId="0">
      <text>
        <r>
          <rPr>
            <b/>
            <sz val="8"/>
            <color indexed="81"/>
            <rFont val="Tahoma"/>
            <family val="2"/>
          </rPr>
          <t>Manufacturer:Type: Model</t>
        </r>
      </text>
    </comment>
    <comment ref="H2" authorId="0">
      <text>
        <r>
          <rPr>
            <b/>
            <sz val="8"/>
            <color indexed="81"/>
            <rFont val="Tahoma"/>
            <family val="2"/>
          </rPr>
          <t>Manufacturer: Model</t>
        </r>
      </text>
    </comment>
    <comment ref="I2" authorId="1">
      <text>
        <r>
          <rPr>
            <b/>
            <sz val="8"/>
            <color indexed="81"/>
            <rFont val="Tahoma"/>
            <family val="2"/>
          </rPr>
          <t>Manufacturer: Capacity: RPM: Model</t>
        </r>
      </text>
    </comment>
    <comment ref="L2" authorId="1">
      <text>
        <r>
          <rPr>
            <b/>
            <sz val="8"/>
            <color indexed="81"/>
            <rFont val="Tahoma"/>
            <family val="2"/>
          </rPr>
          <t>Manufacturer</t>
        </r>
      </text>
    </comment>
    <comment ref="M2" authorId="1">
      <text>
        <r>
          <rPr>
            <b/>
            <sz val="8"/>
            <color indexed="81"/>
            <rFont val="Tahoma"/>
            <family val="2"/>
          </rPr>
          <t>Manufacturer: Capacity: Speed: Model #</t>
        </r>
      </text>
    </comment>
    <comment ref="N2" authorId="1">
      <text>
        <r>
          <rPr>
            <b/>
            <sz val="8"/>
            <color indexed="81"/>
            <rFont val="Tahoma"/>
            <family val="2"/>
          </rPr>
          <t>Manufacturer: Capacity: Speed: Model #</t>
        </r>
      </text>
    </comment>
    <comment ref="O2" authorId="1">
      <text>
        <r>
          <rPr>
            <b/>
            <sz val="8"/>
            <color indexed="81"/>
            <rFont val="Tahoma"/>
            <family val="2"/>
          </rPr>
          <t>Manufacturer: Capacity: Speed: Model #</t>
        </r>
      </text>
    </comment>
    <comment ref="P2" authorId="1">
      <text>
        <r>
          <rPr>
            <b/>
            <sz val="8"/>
            <color indexed="81"/>
            <rFont val="Tahoma"/>
            <family val="2"/>
          </rPr>
          <t>Manufacturer: Capacity: Speed: Model #</t>
        </r>
      </text>
    </comment>
    <comment ref="Q2" authorId="0">
      <text>
        <r>
          <rPr>
            <b/>
            <sz val="8"/>
            <color indexed="81"/>
            <rFont val="Tahoma"/>
            <family val="2"/>
          </rPr>
          <t>Manufacturer: Type</t>
        </r>
      </text>
    </comment>
    <comment ref="R2" authorId="1">
      <text>
        <r>
          <rPr>
            <b/>
            <sz val="8"/>
            <color indexed="81"/>
            <rFont val="Tahoma"/>
            <family val="2"/>
          </rPr>
          <t>Manufacturer: Model #: Frequency</t>
        </r>
      </text>
    </comment>
    <comment ref="T2" authorId="1">
      <text>
        <r>
          <rPr>
            <b/>
            <sz val="8"/>
            <color indexed="81"/>
            <rFont val="Tahoma"/>
            <family val="2"/>
          </rPr>
          <t>Pack Manufacturer: Whr: Cell Count</t>
        </r>
      </text>
    </comment>
    <comment ref="U2" authorId="1">
      <text>
        <r>
          <rPr>
            <b/>
            <sz val="8"/>
            <color indexed="81"/>
            <rFont val="Tahoma"/>
            <family val="2"/>
          </rPr>
          <t>Pack Manufacturer: Whr: Cell Count</t>
        </r>
      </text>
    </comment>
    <comment ref="V2" authorId="0">
      <text>
        <r>
          <rPr>
            <b/>
            <sz val="8"/>
            <color indexed="81"/>
            <rFont val="Tahoma"/>
            <family val="2"/>
          </rPr>
          <t>Manufacturer:Type: Model</t>
        </r>
      </text>
    </comment>
    <comment ref="Z2" authorId="0">
      <text>
        <r>
          <rPr>
            <b/>
            <sz val="8"/>
            <color indexed="81"/>
            <rFont val="Tahoma"/>
            <family val="2"/>
          </rPr>
          <t>Manufacturer: Type</t>
        </r>
      </text>
    </comment>
    <comment ref="AN2" authorId="0">
      <text>
        <r>
          <rPr>
            <b/>
            <sz val="8"/>
            <color indexed="81"/>
            <rFont val="Tahoma"/>
            <family val="2"/>
          </rPr>
          <t>Manufacturer:Type: Model</t>
        </r>
      </text>
    </comment>
    <comment ref="BM2" authorId="0">
      <text>
        <r>
          <rPr>
            <b/>
            <sz val="8"/>
            <color indexed="81"/>
            <rFont val="Tahoma"/>
            <family val="2"/>
          </rPr>
          <t>Manufacturer:Type</t>
        </r>
      </text>
    </comment>
    <comment ref="BP2" authorId="0">
      <text>
        <r>
          <rPr>
            <b/>
            <sz val="8"/>
            <color indexed="81"/>
            <rFont val="Tahoma"/>
            <family val="2"/>
          </rPr>
          <t>Manufacturer: Capacity</t>
        </r>
      </text>
    </comment>
    <comment ref="BR2" authorId="0">
      <text>
        <r>
          <rPr>
            <b/>
            <sz val="8"/>
            <color indexed="81"/>
            <rFont val="Tahoma"/>
            <family val="2"/>
          </rPr>
          <t>Manufacturer: Type: Model</t>
        </r>
      </text>
    </comment>
    <comment ref="BS2" authorId="0">
      <text>
        <r>
          <rPr>
            <b/>
            <sz val="8"/>
            <color indexed="81"/>
            <rFont val="Tahoma"/>
            <family val="2"/>
          </rPr>
          <t>Manufacturer: Type: Model</t>
        </r>
      </text>
    </comment>
    <comment ref="BT2" authorId="0">
      <text>
        <r>
          <rPr>
            <b/>
            <sz val="8"/>
            <color indexed="81"/>
            <rFont val="Tahoma"/>
            <family val="2"/>
          </rPr>
          <t>Manufacturer: Type: Model</t>
        </r>
      </text>
    </comment>
    <comment ref="BU2" authorId="0">
      <text>
        <r>
          <rPr>
            <b/>
            <sz val="8"/>
            <color indexed="81"/>
            <rFont val="Tahoma"/>
            <family val="2"/>
          </rPr>
          <t>Manufacturer: Type: Model</t>
        </r>
      </text>
    </comment>
    <comment ref="BV2" authorId="0">
      <text>
        <r>
          <rPr>
            <b/>
            <sz val="8"/>
            <color indexed="81"/>
            <rFont val="Tahoma"/>
            <family val="2"/>
          </rPr>
          <t>Manufacturer: Type: Model</t>
        </r>
      </text>
    </comment>
  </commentList>
</comments>
</file>

<file path=xl/comments2.xml><?xml version="1.0" encoding="utf-8"?>
<comments xmlns="http://schemas.openxmlformats.org/spreadsheetml/2006/main">
  <authors>
    <author>Windy Tian/WKS/Wistron</author>
  </authors>
  <commentList>
    <comment ref="G56" authorId="0">
      <text>
        <r>
          <rPr>
            <b/>
            <sz val="9"/>
            <color indexed="81"/>
            <rFont val="Tahoma"/>
            <family val="2"/>
          </rPr>
          <t>WLAN FCC ID show blank in F10 .</t>
        </r>
        <r>
          <rPr>
            <sz val="9"/>
            <color indexed="81"/>
            <rFont val="Tahoma"/>
            <family val="2"/>
          </rPr>
          <t xml:space="preserve">
</t>
        </r>
      </text>
    </comment>
    <comment ref="E135" authorId="0">
      <text>
        <r>
          <rPr>
            <b/>
            <sz val="9"/>
            <color indexed="81"/>
            <rFont val="Tahoma"/>
            <family val="2"/>
          </rPr>
          <t>PCR[00] Value show blank in bios release note .</t>
        </r>
        <r>
          <rPr>
            <sz val="9"/>
            <color indexed="81"/>
            <rFont val="Tahoma"/>
            <family val="2"/>
          </rPr>
          <t xml:space="preserve">
</t>
        </r>
      </text>
    </comment>
    <comment ref="G135" authorId="0">
      <text>
        <r>
          <rPr>
            <b/>
            <sz val="9"/>
            <color indexed="81"/>
            <rFont val="Tahoma"/>
            <family val="2"/>
          </rPr>
          <t xml:space="preserve">PCR[00] Value show blank in bios release note .
</t>
        </r>
        <r>
          <rPr>
            <sz val="9"/>
            <color indexed="81"/>
            <rFont val="Tahoma"/>
            <family val="2"/>
          </rPr>
          <t xml:space="preserve">
</t>
        </r>
      </text>
    </comment>
  </commentList>
</comments>
</file>

<file path=xl/comments3.xml><?xml version="1.0" encoding="utf-8"?>
<comments xmlns="http://schemas.openxmlformats.org/spreadsheetml/2006/main">
  <authors>
    <author>Windy Tian/WKS/Wistron</author>
  </authors>
  <commentList>
    <comment ref="G56" authorId="0">
      <text>
        <r>
          <rPr>
            <b/>
            <sz val="9"/>
            <color indexed="81"/>
            <rFont val="Tahoma"/>
            <family val="2"/>
          </rPr>
          <t xml:space="preserve">SFT-BIOS_Orbitz: all OS : Fn+F1,Fn+F11,Fn+end/break report different code when run WinPvt5.1A Scan codes . </t>
        </r>
        <r>
          <rPr>
            <sz val="9"/>
            <color indexed="81"/>
            <rFont val="Tahoma"/>
            <family val="2"/>
          </rPr>
          <t xml:space="preserve">
</t>
        </r>
      </text>
    </comment>
    <comment ref="G59" authorId="0">
      <text>
        <r>
          <rPr>
            <b/>
            <sz val="9"/>
            <color indexed="81"/>
            <rFont val="Tahoma"/>
            <family val="2"/>
          </rPr>
          <t>SFT-BIOS_RAC,Win7: Error message occurred ”Miscompare in property "WWAN Protection Feature Status" when run WinPVT--&gt; “WMI BIOS Configuration”(Interactive ) with WWAN SKU.</t>
        </r>
        <r>
          <rPr>
            <sz val="9"/>
            <color indexed="81"/>
            <rFont val="Tahoma"/>
            <family val="2"/>
          </rPr>
          <t xml:space="preserve">
</t>
        </r>
      </text>
    </comment>
    <comment ref="G75" authorId="0">
      <text>
        <r>
          <rPr>
            <b/>
            <sz val="9"/>
            <color indexed="81"/>
            <rFont val="Tahoma"/>
            <family val="2"/>
          </rPr>
          <t>SFT-Bios_Orbitz ,Win8.1 : Error:"WMI Public HP_BIOSSettingInterface method failed : error = 0x13 ,Setting property did not match expected value ." appeared when run WinPvt HP WMI (Public) Interface test</t>
        </r>
        <r>
          <rPr>
            <sz val="9"/>
            <color indexed="81"/>
            <rFont val="Tahoma"/>
            <family val="2"/>
          </rPr>
          <t xml:space="preserve">
</t>
        </r>
      </text>
    </comment>
    <comment ref="G77" authorId="0">
      <text>
        <r>
          <rPr>
            <b/>
            <sz val="9"/>
            <color indexed="81"/>
            <rFont val="Tahoma"/>
            <family val="2"/>
          </rPr>
          <t>SFT-BIOS_Orbitz: Error appeared When run BIOS Specifications WINPVT 5.1A .</t>
        </r>
        <r>
          <rPr>
            <sz val="9"/>
            <color indexed="81"/>
            <rFont val="Tahoma"/>
            <family val="2"/>
          </rPr>
          <t xml:space="preserve">
</t>
        </r>
      </text>
    </comment>
    <comment ref="G94" authorId="0">
      <text>
        <r>
          <rPr>
            <b/>
            <sz val="9"/>
            <color indexed="81"/>
            <rFont val="Tahoma"/>
            <family val="2"/>
          </rPr>
          <t>some pnp ID is not listted in BIOS spec</t>
        </r>
        <r>
          <rPr>
            <sz val="9"/>
            <color indexed="81"/>
            <rFont val="Tahoma"/>
            <family val="2"/>
          </rPr>
          <t xml:space="preserve">
</t>
        </r>
      </text>
    </comment>
    <comment ref="G103" authorId="0">
      <text>
        <r>
          <rPr>
            <b/>
            <sz val="9"/>
            <color indexed="81"/>
            <rFont val="Tahoma"/>
            <family val="2"/>
          </rPr>
          <t>SIO990220SFT-Bios_Orbitz , : WLAN FCC ID show Test WLAN in F10 .</t>
        </r>
        <r>
          <rPr>
            <sz val="9"/>
            <color indexed="81"/>
            <rFont val="Tahoma"/>
            <family val="2"/>
          </rPr>
          <t xml:space="preserve">
</t>
        </r>
      </text>
    </comment>
    <comment ref="G156" authorId="0">
      <text>
        <r>
          <rPr>
            <b/>
            <sz val="9"/>
            <color indexed="81"/>
            <rFont val="Tahoma"/>
            <family val="2"/>
          </rPr>
          <t xml:space="preserve"> SFT-Bios_Orbitz ,all OS : Error: GetLaunchStatus() returned unknown value. (LastStatus == 0x18) showed in bioscheck.txt . 
Edit </t>
        </r>
        <r>
          <rPr>
            <sz val="9"/>
            <color indexed="81"/>
            <rFont val="Tahoma"/>
            <family val="2"/>
          </rPr>
          <t xml:space="preserve">
</t>
        </r>
      </text>
    </comment>
  </commentList>
</comments>
</file>

<file path=xl/comments4.xml><?xml version="1.0" encoding="utf-8"?>
<comments xmlns="http://schemas.openxmlformats.org/spreadsheetml/2006/main">
  <authors>
    <author>penac</author>
  </authors>
  <commentList>
    <comment ref="C79" authorId="0">
      <text>
        <r>
          <rPr>
            <b/>
            <sz val="9"/>
            <color indexed="81"/>
            <rFont val="Tahoma"/>
            <family val="2"/>
          </rPr>
          <t>penac:</t>
        </r>
        <r>
          <rPr>
            <sz val="9"/>
            <color indexed="81"/>
            <rFont val="Tahoma"/>
            <family val="2"/>
          </rPr>
          <t xml:space="preserve">
</t>
        </r>
      </text>
    </comment>
  </commentList>
</comments>
</file>

<file path=xl/sharedStrings.xml><?xml version="1.0" encoding="utf-8"?>
<sst xmlns="http://schemas.openxmlformats.org/spreadsheetml/2006/main" count="5277" uniqueCount="3103">
  <si>
    <t>CFGID</t>
  </si>
  <si>
    <t>Label</t>
  </si>
  <si>
    <t>Brazil</t>
  </si>
  <si>
    <t>Czech Republic</t>
  </si>
  <si>
    <t>Netherlands</t>
  </si>
  <si>
    <t>Operating Systems</t>
  </si>
  <si>
    <t>WXP Pro</t>
  </si>
  <si>
    <t>WXP Home</t>
  </si>
  <si>
    <t>W2K Server</t>
  </si>
  <si>
    <t>WXP Pro (TE)</t>
  </si>
  <si>
    <t>W2K Advanced Server</t>
  </si>
  <si>
    <t>WXP MCE</t>
  </si>
  <si>
    <t>Vista Business</t>
  </si>
  <si>
    <t>Vista Enterprise</t>
  </si>
  <si>
    <t>Vista Home Premium</t>
  </si>
  <si>
    <t>Vista Home Basic</t>
  </si>
  <si>
    <t>Vista Ultimate</t>
  </si>
  <si>
    <t>MS-DOS</t>
  </si>
  <si>
    <t>FreeDOS</t>
  </si>
  <si>
    <t>Reserved</t>
  </si>
  <si>
    <t>Linux (SuSe)</t>
  </si>
  <si>
    <t>Languages</t>
  </si>
  <si>
    <t>Project Name:</t>
  </si>
  <si>
    <t>Phase:</t>
  </si>
  <si>
    <t>Project Phases</t>
  </si>
  <si>
    <t>DB-1</t>
  </si>
  <si>
    <t>DB-2</t>
  </si>
  <si>
    <t>DB-3</t>
  </si>
  <si>
    <t>SI-1</t>
  </si>
  <si>
    <t>SI-2</t>
  </si>
  <si>
    <t>SI-3</t>
  </si>
  <si>
    <t>PV-1</t>
  </si>
  <si>
    <t>PV-2</t>
  </si>
  <si>
    <t>PV-3</t>
  </si>
  <si>
    <t>MV-1</t>
  </si>
  <si>
    <t>MV-2</t>
  </si>
  <si>
    <t>MV-3</t>
  </si>
  <si>
    <t>Sustaining</t>
  </si>
  <si>
    <t>Project Lead:</t>
  </si>
  <si>
    <t>Test Lead:</t>
  </si>
  <si>
    <t>Cycle Configurations</t>
  </si>
  <si>
    <t>Cycle Results</t>
  </si>
  <si>
    <t>Defaults</t>
  </si>
  <si>
    <t>Mode</t>
  </si>
  <si>
    <t>Default Environment:</t>
  </si>
  <si>
    <t>Default Language:</t>
  </si>
  <si>
    <t>Test Results Entry Permission</t>
  </si>
  <si>
    <t>Results Consolidation</t>
  </si>
  <si>
    <t>Results Consolidation (BG)</t>
  </si>
  <si>
    <t>GR</t>
  </si>
  <si>
    <t>FR</t>
  </si>
  <si>
    <t>IT</t>
  </si>
  <si>
    <t>SP</t>
  </si>
  <si>
    <t>DK</t>
  </si>
  <si>
    <t>NO</t>
  </si>
  <si>
    <t>PT</t>
  </si>
  <si>
    <t>TR</t>
  </si>
  <si>
    <t>AR</t>
  </si>
  <si>
    <t>BR</t>
  </si>
  <si>
    <t>HU</t>
  </si>
  <si>
    <t>CS</t>
  </si>
  <si>
    <t>PL</t>
  </si>
  <si>
    <t>RU</t>
  </si>
  <si>
    <t>JP</t>
  </si>
  <si>
    <t>NL</t>
  </si>
  <si>
    <t>CH</t>
  </si>
  <si>
    <t>TW</t>
  </si>
  <si>
    <t>TZ</t>
  </si>
  <si>
    <t>KR</t>
  </si>
  <si>
    <t>SE</t>
  </si>
  <si>
    <t>FI</t>
  </si>
  <si>
    <t>IL</t>
  </si>
  <si>
    <t>GK</t>
  </si>
  <si>
    <t>DOS</t>
  </si>
  <si>
    <t>W2K</t>
  </si>
  <si>
    <t>XPH</t>
  </si>
  <si>
    <t>XPP</t>
  </si>
  <si>
    <t>XPTE</t>
  </si>
  <si>
    <t>XPMCE</t>
  </si>
  <si>
    <t>VHB</t>
  </si>
  <si>
    <t>VHP</t>
  </si>
  <si>
    <t>VB</t>
  </si>
  <si>
    <t>VE</t>
  </si>
  <si>
    <t>VU</t>
  </si>
  <si>
    <t>Test Results Rollups</t>
  </si>
  <si>
    <t>Lock Method</t>
  </si>
  <si>
    <t>Del CfgFocus On New</t>
  </si>
  <si>
    <t>Modem</t>
  </si>
  <si>
    <t>Test Results Count</t>
  </si>
  <si>
    <t>Passed (P):</t>
  </si>
  <si>
    <t>Failed (F):</t>
  </si>
  <si>
    <t>Under Investigation (I):</t>
  </si>
  <si>
    <t>Blocked (B):</t>
  </si>
  <si>
    <t>Not Planned (NP):</t>
  </si>
  <si>
    <t>Not Supported (NS):</t>
  </si>
  <si>
    <t>Not Applicable (NA):</t>
  </si>
  <si>
    <t>Total Number of Planned Tests:</t>
  </si>
  <si>
    <t>Total Number of Available Tests:</t>
  </si>
  <si>
    <t>Planned Test Items</t>
  </si>
  <si>
    <t>Matrix Version:</t>
  </si>
  <si>
    <t>1.0</t>
  </si>
  <si>
    <t>User Label Selection</t>
  </si>
  <si>
    <t>New Config Permission</t>
  </si>
  <si>
    <t>New Cycle Permission</t>
  </si>
  <si>
    <t>Overall</t>
  </si>
  <si>
    <t>End of Summary</t>
  </si>
  <si>
    <t>Overall (%)</t>
  </si>
  <si>
    <t>Test Plan Type</t>
  </si>
  <si>
    <t>Project Type</t>
  </si>
  <si>
    <t>Platform</t>
  </si>
  <si>
    <t>Deliverable</t>
  </si>
  <si>
    <t>Basic System Test</t>
  </si>
  <si>
    <t>BIOS QA</t>
  </si>
  <si>
    <t>HWQA</t>
  </si>
  <si>
    <t>Initial Check</t>
  </si>
  <si>
    <t>Out-of-Cycle Commodities</t>
  </si>
  <si>
    <t>System Characterization</t>
  </si>
  <si>
    <t>OOBA</t>
  </si>
  <si>
    <t>Project Type:</t>
  </si>
  <si>
    <t>Test Plan Type:</t>
  </si>
  <si>
    <t>Test Group:</t>
  </si>
  <si>
    <t>PSG Mobile System Validation</t>
  </si>
  <si>
    <t>Version:</t>
  </si>
  <si>
    <t>Platform Phase</t>
  </si>
  <si>
    <t>Automated Test (10x300)</t>
  </si>
  <si>
    <t>VB64</t>
  </si>
  <si>
    <t>VHB64</t>
  </si>
  <si>
    <t>VHP64</t>
  </si>
  <si>
    <t>VE64</t>
  </si>
  <si>
    <t>VU64</t>
  </si>
  <si>
    <t>Vista Home Basic (64)</t>
  </si>
  <si>
    <t>Vista Home Premium (64)</t>
  </si>
  <si>
    <t>Vista Business (64)</t>
  </si>
  <si>
    <t>Vista Enterprise (64)</t>
  </si>
  <si>
    <t>Vista Ultimate (64)</t>
  </si>
  <si>
    <t>Focus Integration Test</t>
  </si>
  <si>
    <t>Image Validation</t>
  </si>
  <si>
    <t>MV Mini Regression</t>
  </si>
  <si>
    <t>Softpaq-SSM</t>
  </si>
  <si>
    <t>System Integration Test</t>
  </si>
  <si>
    <t>Wxp Pro</t>
  </si>
  <si>
    <t>YesNo</t>
  </si>
  <si>
    <t>Yes</t>
  </si>
  <si>
    <t>No</t>
  </si>
  <si>
    <t>EnableDisable</t>
  </si>
  <si>
    <t>Enable</t>
  </si>
  <si>
    <t>Disable</t>
  </si>
  <si>
    <t>PowerSource</t>
  </si>
  <si>
    <t>AC</t>
  </si>
  <si>
    <t>DC</t>
  </si>
  <si>
    <t>Remaining Tests:</t>
  </si>
  <si>
    <t>Overall / %</t>
  </si>
  <si>
    <t>WXP Pro (64)</t>
  </si>
  <si>
    <t>Tester</t>
  </si>
  <si>
    <t>CYCLE SUMMARY</t>
  </si>
  <si>
    <t>OVERALL SUMMARY</t>
  </si>
  <si>
    <t>Chimay</t>
  </si>
  <si>
    <t>Abita</t>
  </si>
  <si>
    <t>Sapporo</t>
  </si>
  <si>
    <t>Vram</t>
  </si>
  <si>
    <t>Bluetooth Module</t>
  </si>
  <si>
    <t>Wired Nic</t>
  </si>
  <si>
    <t>Keyboard</t>
  </si>
  <si>
    <t>Cradle Type+</t>
  </si>
  <si>
    <t>Cradle Multibay Device+</t>
  </si>
  <si>
    <t>Touchpad Pointstick Combo</t>
  </si>
  <si>
    <t>None</t>
  </si>
  <si>
    <t>Graphics</t>
  </si>
  <si>
    <t>Chicony</t>
  </si>
  <si>
    <t>OnOff</t>
  </si>
  <si>
    <t>On</t>
  </si>
  <si>
    <t>Off</t>
  </si>
  <si>
    <t>PROJECT DATES</t>
  </si>
  <si>
    <t>Plan</t>
  </si>
  <si>
    <t>Actual</t>
  </si>
  <si>
    <t>Start Date:</t>
  </si>
  <si>
    <t>End Date:</t>
  </si>
  <si>
    <t>ConfigAllSheets</t>
  </si>
  <si>
    <t>Unit Id+</t>
  </si>
  <si>
    <t>Branding</t>
  </si>
  <si>
    <t>Image Revision</t>
  </si>
  <si>
    <t>System Board</t>
  </si>
  <si>
    <t>Video Architecture</t>
  </si>
  <si>
    <t>Uma</t>
  </si>
  <si>
    <t>Discrete</t>
  </si>
  <si>
    <t>English</t>
  </si>
  <si>
    <t>German</t>
  </si>
  <si>
    <t>French</t>
  </si>
  <si>
    <t>Italian</t>
  </si>
  <si>
    <t>LA Spanish</t>
  </si>
  <si>
    <t>Danish</t>
  </si>
  <si>
    <t>Norwegian</t>
  </si>
  <si>
    <t>Portuguese</t>
  </si>
  <si>
    <t>Turkish</t>
  </si>
  <si>
    <t>Arabic</t>
  </si>
  <si>
    <t>Hungarian</t>
  </si>
  <si>
    <t>Polish</t>
  </si>
  <si>
    <t>Russian</t>
  </si>
  <si>
    <t>Japanese</t>
  </si>
  <si>
    <t>Chinese</t>
  </si>
  <si>
    <t>Korean</t>
  </si>
  <si>
    <t>Swedish</t>
  </si>
  <si>
    <t>Finnish</t>
  </si>
  <si>
    <t>Hebrew</t>
  </si>
  <si>
    <t>Spanish</t>
  </si>
  <si>
    <t>Greek</t>
  </si>
  <si>
    <t>EN</t>
  </si>
  <si>
    <t>LA SP</t>
  </si>
  <si>
    <t>Test Plan Name:</t>
  </si>
  <si>
    <t>Fingerprint Reader</t>
  </si>
  <si>
    <t>Dock Type+</t>
  </si>
  <si>
    <t>Hard Drive+</t>
  </si>
  <si>
    <t>Memory Slot 1+</t>
  </si>
  <si>
    <t>Memory Slot 2+</t>
  </si>
  <si>
    <t>Processor+</t>
  </si>
  <si>
    <t>32Bit Os</t>
  </si>
  <si>
    <t>64Bit Os</t>
  </si>
  <si>
    <t>Connection Type+</t>
  </si>
  <si>
    <t>Device List+</t>
  </si>
  <si>
    <t>External Display+</t>
  </si>
  <si>
    <t>Kbc+</t>
  </si>
  <si>
    <t>Media Player+</t>
  </si>
  <si>
    <t>Media Type+</t>
  </si>
  <si>
    <t>Pcmcia+</t>
  </si>
  <si>
    <t>Power Scheme</t>
  </si>
  <si>
    <t>Screen Saver</t>
  </si>
  <si>
    <t>Sku Number+</t>
  </si>
  <si>
    <t>Software List+</t>
  </si>
  <si>
    <t>System Bios+</t>
  </si>
  <si>
    <t>Website+</t>
  </si>
  <si>
    <t>Broadcom: Bluetooth 2.0+Edr Module (Blueflame)</t>
  </si>
  <si>
    <t>P</t>
  </si>
  <si>
    <t>Lan - Cable Modem</t>
  </si>
  <si>
    <t>Rev 1</t>
  </si>
  <si>
    <t>Quicktime Player</t>
  </si>
  <si>
    <t>Audio Cd</t>
  </si>
  <si>
    <t>Always On</t>
  </si>
  <si>
    <t>Launch.Yahoo.Com</t>
  </si>
  <si>
    <t>Halfpipe:1.0</t>
  </si>
  <si>
    <t>Sunrex</t>
  </si>
  <si>
    <t>B</t>
  </si>
  <si>
    <t>Lan - Domain Proxy</t>
  </si>
  <si>
    <t>Rev 2</t>
  </si>
  <si>
    <t>Real Player</t>
  </si>
  <si>
    <t>Avi</t>
  </si>
  <si>
    <t>Balanced</t>
  </si>
  <si>
    <t>Vista: Aurora</t>
  </si>
  <si>
    <t>Alps: Touchpad Only</t>
  </si>
  <si>
    <t>Movies.Msn.Com</t>
  </si>
  <si>
    <t>Broadcom: 802.11 B/G (Hoyas)</t>
  </si>
  <si>
    <t>Zelda:1.0</t>
  </si>
  <si>
    <t>Darfon</t>
  </si>
  <si>
    <t>S</t>
  </si>
  <si>
    <t>Wlan - Cable Modem</t>
  </si>
  <si>
    <t>1394 External Hdd</t>
  </si>
  <si>
    <t>Dvi Monitor</t>
  </si>
  <si>
    <t>Rev 3</t>
  </si>
  <si>
    <t>Windows Media Player</t>
  </si>
  <si>
    <t>Cdi</t>
  </si>
  <si>
    <t>High Performance</t>
  </si>
  <si>
    <t>Vista: Bubbles</t>
  </si>
  <si>
    <t>Autocad</t>
  </si>
  <si>
    <t>Alps: Pointstick Only</t>
  </si>
  <si>
    <t>Zelda:2.0</t>
  </si>
  <si>
    <t>W</t>
  </si>
  <si>
    <t>Wlan - Domain Proxy</t>
  </si>
  <si>
    <t>1394 External Odd</t>
  </si>
  <si>
    <t>Dvi Projector</t>
  </si>
  <si>
    <t>Rev 4</t>
  </si>
  <si>
    <t>Windvd Player</t>
  </si>
  <si>
    <t>Divx</t>
  </si>
  <si>
    <t>Home/Office Desk</t>
  </si>
  <si>
    <t>Vista: Windows Energy</t>
  </si>
  <si>
    <t>Alps: Touchpad &amp; Pointstick Combo</t>
  </si>
  <si>
    <t>Music.Msn.Com</t>
  </si>
  <si>
    <t>Broadcom: 802.11 A/B/G/N (Redstorm)</t>
  </si>
  <si>
    <t>Zelda:2.5</t>
  </si>
  <si>
    <t>1394 Video Camera</t>
  </si>
  <si>
    <t>Dvi Tv</t>
  </si>
  <si>
    <t>Rev 5</t>
  </si>
  <si>
    <t>Dvd Movie</t>
  </si>
  <si>
    <t>Max Battery</t>
  </si>
  <si>
    <t>Xp: 3D Flying Objects</t>
  </si>
  <si>
    <t>Synaptics: Touchpad Only</t>
  </si>
  <si>
    <t>Celxpert: 44Whr: 6 Cell</t>
  </si>
  <si>
    <t>Hdmi Monitor</t>
  </si>
  <si>
    <t>Rev 6</t>
  </si>
  <si>
    <t>Flash</t>
  </si>
  <si>
    <t>Minimal Power Management</t>
  </si>
  <si>
    <t>Xp: 3D Pipes</t>
  </si>
  <si>
    <t>Synaptics: Pointstick Only</t>
  </si>
  <si>
    <t>Bluetooth Headphones</t>
  </si>
  <si>
    <t>Hdmi Tv</t>
  </si>
  <si>
    <t>Rev 7</t>
  </si>
  <si>
    <t>Midi</t>
  </si>
  <si>
    <t>Portable/Laptop</t>
  </si>
  <si>
    <t>Xp: 3D Text</t>
  </si>
  <si>
    <t>Synaptics: Touchpad &amp; Pointstick Combo</t>
  </si>
  <si>
    <t>Www.Rhapsody.Com</t>
  </si>
  <si>
    <t>Intel: 802.11 B/G (Golan)</t>
  </si>
  <si>
    <t>Bluetooth Keyboard</t>
  </si>
  <si>
    <t>Rev 8</t>
  </si>
  <si>
    <t>Mov</t>
  </si>
  <si>
    <t>Power Saver</t>
  </si>
  <si>
    <t>Xp: Windows Xp</t>
  </si>
  <si>
    <t>Www.Shockwave.Com</t>
  </si>
  <si>
    <t>Intel: 802.11 A/B/G (Golan)</t>
  </si>
  <si>
    <t>Bluetooth Mouse</t>
  </si>
  <si>
    <t>Rev 9</t>
  </si>
  <si>
    <t>Mp3</t>
  </si>
  <si>
    <t>Presentation</t>
  </si>
  <si>
    <t>Ipaq</t>
  </si>
  <si>
    <t>Vga Flat Panel</t>
  </si>
  <si>
    <t>Rev 10</t>
  </si>
  <si>
    <t>Mpeg</t>
  </si>
  <si>
    <t>Lpt Printer</t>
  </si>
  <si>
    <t>Vga Monitor</t>
  </si>
  <si>
    <t>Rev 11</t>
  </si>
  <si>
    <t>Real</t>
  </si>
  <si>
    <t>Vga Projector</t>
  </si>
  <si>
    <t>Rev 12</t>
  </si>
  <si>
    <t>Wmv</t>
  </si>
  <si>
    <t>Pci-E 1Gbps Nic</t>
  </si>
  <si>
    <t>Rev 13</t>
  </si>
  <si>
    <t>Pci-E Flash Media Reader</t>
  </si>
  <si>
    <t>Rev 14</t>
  </si>
  <si>
    <t>Rev 15</t>
  </si>
  <si>
    <t>Dynapack: 52Whr: 8 Cell</t>
  </si>
  <si>
    <t>Rev 16</t>
  </si>
  <si>
    <t>Rev 17</t>
  </si>
  <si>
    <t>Rev 18</t>
  </si>
  <si>
    <t>Rev 19</t>
  </si>
  <si>
    <t>Rev 20</t>
  </si>
  <si>
    <t>Dynapack: 73Whr: 8 Cell</t>
  </si>
  <si>
    <t>Rev 21</t>
  </si>
  <si>
    <t>Projector</t>
  </si>
  <si>
    <t>Rev 22</t>
  </si>
  <si>
    <t>Rev 23</t>
  </si>
  <si>
    <t>Rev 24</t>
  </si>
  <si>
    <t>Serial Mouse</t>
  </si>
  <si>
    <t>Rev 25</t>
  </si>
  <si>
    <t>Serial Pda</t>
  </si>
  <si>
    <t>Rev 26</t>
  </si>
  <si>
    <t>Usb Camera</t>
  </si>
  <si>
    <t>Rev 27</t>
  </si>
  <si>
    <t>Rev 28</t>
  </si>
  <si>
    <t>Rev 29</t>
  </si>
  <si>
    <t>Usb External Odd</t>
  </si>
  <si>
    <t>Rev 30</t>
  </si>
  <si>
    <t>Usb Fdd</t>
  </si>
  <si>
    <t>Rev 31</t>
  </si>
  <si>
    <t>Usb Game Pad</t>
  </si>
  <si>
    <t>Rev 32</t>
  </si>
  <si>
    <t>Usb Hub</t>
  </si>
  <si>
    <t>Rev 33</t>
  </si>
  <si>
    <t>Rev 34</t>
  </si>
  <si>
    <t>Usb Keyboard</t>
  </si>
  <si>
    <t>Rev 35</t>
  </si>
  <si>
    <t>Usb Media Reader</t>
  </si>
  <si>
    <t>Rev 36</t>
  </si>
  <si>
    <t>Usb Mouse</t>
  </si>
  <si>
    <t>Rev 37</t>
  </si>
  <si>
    <t>Usb Multibay I (Zelda)</t>
  </si>
  <si>
    <t>Rev 38</t>
  </si>
  <si>
    <t>Usb Multibay Ii (Halfpipe)</t>
  </si>
  <si>
    <t>Rev 39</t>
  </si>
  <si>
    <t>Usb Printer</t>
  </si>
  <si>
    <t>Rev 40</t>
  </si>
  <si>
    <t>Usb Scanner</t>
  </si>
  <si>
    <t>Usb Speakers</t>
  </si>
  <si>
    <t>Usb To Parallel Adapter</t>
  </si>
  <si>
    <t>Usb To Serial Adapter</t>
  </si>
  <si>
    <t>Usb Webcam</t>
  </si>
  <si>
    <t>Simplo: 46Whr: 6 Cell</t>
  </si>
  <si>
    <t>Simplo: 55Whr: 6 Cell</t>
  </si>
  <si>
    <t>Intel:T5500: 1.66Ghz</t>
  </si>
  <si>
    <t>Dosxx/Dunkel</t>
  </si>
  <si>
    <t>Db-1</t>
  </si>
  <si>
    <t>Broadcom: Integrated 5906 10/100 Nic</t>
  </si>
  <si>
    <t>Conexant: 56K V.92 Mdc 1.5 Data/Fax Modem (Harley C)</t>
  </si>
  <si>
    <t>Db-2</t>
  </si>
  <si>
    <t>Broadcom: Integrated 5787 10/100/1000 Nic</t>
  </si>
  <si>
    <t>Ati: M72S</t>
  </si>
  <si>
    <t>Agere: 56K V.92 Mdc 1.5 Data/Fax Modem (Harley A)</t>
  </si>
  <si>
    <t>Intel:T7000: 1.8Ghz</t>
  </si>
  <si>
    <t>Db-3</t>
  </si>
  <si>
    <t>Hynix: 128Mb</t>
  </si>
  <si>
    <t>Intel: 10/100/1000 Nic W/ Iamt (Nineveh)</t>
  </si>
  <si>
    <t>Broadcom: 802.11 A/B/G (Bevo)</t>
  </si>
  <si>
    <t>Ati: M52</t>
  </si>
  <si>
    <t>Intel:T7300: 2.0Ghz</t>
  </si>
  <si>
    <t>Si-1</t>
  </si>
  <si>
    <t>Hynix: 256Mb</t>
  </si>
  <si>
    <t>Ati: M76Xt</t>
  </si>
  <si>
    <t>Intel: T7500: 2.2Ghz</t>
  </si>
  <si>
    <t>Si-2</t>
  </si>
  <si>
    <t>Hynix: 512Mb</t>
  </si>
  <si>
    <t>Nvidia: G71Glm</t>
  </si>
  <si>
    <t>Intel:T7700: 2.4Ghz</t>
  </si>
  <si>
    <t>Si-3</t>
  </si>
  <si>
    <t>Nvidia: G92Glm</t>
  </si>
  <si>
    <t>Intel: Celeron: 1.77Ghz</t>
  </si>
  <si>
    <t>Pv-1</t>
  </si>
  <si>
    <t>Samsung: 128Mb</t>
  </si>
  <si>
    <t>Intel: U7500: 1.06Ghz</t>
  </si>
  <si>
    <t>Pv-2</t>
  </si>
  <si>
    <t>Samsung: 256Mb</t>
  </si>
  <si>
    <t>Amd: Turion 64 X2 Tl-52: 1.6Ghz</t>
  </si>
  <si>
    <t>Pv-3</t>
  </si>
  <si>
    <t>Samsung: 512Mb</t>
  </si>
  <si>
    <t>Amd: Turion 64 X2 Tl-56: 1.8Ghz</t>
  </si>
  <si>
    <t>Mv-1</t>
  </si>
  <si>
    <t>Amd: Turion 64 X2 Tl-60: 2.0Ghz</t>
  </si>
  <si>
    <t>Mv-2</t>
  </si>
  <si>
    <t>Amd: Turion 64 X2 Tl-64: 2.2Ghz</t>
  </si>
  <si>
    <t>Mv-3</t>
  </si>
  <si>
    <t>Amd: Sempron 3400+: 1.8Ghz</t>
  </si>
  <si>
    <t>Amd: Sempron 3500+: 1.8Ghz</t>
  </si>
  <si>
    <t>Amd: Sempron 3600+: 2.0Ghz</t>
  </si>
  <si>
    <t>Lgchem: 73Whr: 8 Cell</t>
  </si>
  <si>
    <t>Sdi: 55Whr: 6 Cell</t>
  </si>
  <si>
    <t>Hp Confidential</t>
  </si>
  <si>
    <t>HP CONFIDENTIAL</t>
  </si>
  <si>
    <t>SubMatrix</t>
  </si>
  <si>
    <t>TEST SUMMARY (Ctrl+Alt+Shift+T to update)</t>
  </si>
  <si>
    <t>3rd Party Functional Test</t>
  </si>
  <si>
    <t>ENTER NAME HERE</t>
  </si>
  <si>
    <t>Celxpert: 73Whr: 8 Cell</t>
  </si>
  <si>
    <t>Rev 41</t>
  </si>
  <si>
    <t>Rev 42</t>
  </si>
  <si>
    <t>Rev 43</t>
  </si>
  <si>
    <t>Rev 44</t>
  </si>
  <si>
    <t>Rev 45</t>
  </si>
  <si>
    <t>Amd Rs690T Df</t>
  </si>
  <si>
    <t>Amd Rs690T+32Mb Lfb Ff</t>
  </si>
  <si>
    <t>Ati:M64S(128Bit)</t>
  </si>
  <si>
    <t>Ati:M64S(64Bit)</t>
  </si>
  <si>
    <t>Intel Gl960</t>
  </si>
  <si>
    <t>Nvidia: G84Glm-Uu</t>
  </si>
  <si>
    <t>Nvidia: G84M-Gt</t>
  </si>
  <si>
    <t>Intel: U7600: 1.2 Ghz</t>
  </si>
  <si>
    <t>Intel:T7100: 1.8Ghz</t>
  </si>
  <si>
    <t>ROM</t>
  </si>
  <si>
    <t>Romanian</t>
  </si>
  <si>
    <t>LAT</t>
  </si>
  <si>
    <t>Latvian</t>
  </si>
  <si>
    <t>LIT</t>
  </si>
  <si>
    <t>Lithuanian</t>
  </si>
  <si>
    <t>EST</t>
  </si>
  <si>
    <t>Estonian</t>
  </si>
  <si>
    <t>CRO</t>
  </si>
  <si>
    <t>Croatian</t>
  </si>
  <si>
    <t>SLON</t>
  </si>
  <si>
    <t>Slovenian</t>
  </si>
  <si>
    <t>SLOK</t>
  </si>
  <si>
    <t>Slovakian</t>
  </si>
  <si>
    <t>BUL</t>
  </si>
  <si>
    <t>SELECT PLATFORM IN TEST</t>
  </si>
  <si>
    <t>Optimator</t>
  </si>
  <si>
    <t>Victoria Bitter</t>
  </si>
  <si>
    <t>Other</t>
  </si>
  <si>
    <t>Docking Matrix</t>
  </si>
  <si>
    <t>Country</t>
  </si>
  <si>
    <t>Dash Code</t>
  </si>
  <si>
    <t>Language Code</t>
  </si>
  <si>
    <t>Tier</t>
  </si>
  <si>
    <t>United States</t>
  </si>
  <si>
    <t>Tier 1</t>
  </si>
  <si>
    <t>Arabia</t>
  </si>
  <si>
    <t>Tier 2</t>
  </si>
  <si>
    <t>Argentina</t>
  </si>
  <si>
    <t>Tier 3</t>
  </si>
  <si>
    <t>Asia Pacific</t>
  </si>
  <si>
    <t>Tier 4</t>
  </si>
  <si>
    <t>Australia</t>
  </si>
  <si>
    <t>Tier 5</t>
  </si>
  <si>
    <t>Belgium</t>
  </si>
  <si>
    <t>Tier 6</t>
  </si>
  <si>
    <t>Volga Victoria 2.0</t>
  </si>
  <si>
    <t>Tier 7</t>
  </si>
  <si>
    <t>Canada</t>
  </si>
  <si>
    <t>Tier 8</t>
  </si>
  <si>
    <t>Canadian (French)</t>
  </si>
  <si>
    <t>Drax/Duvel/Duckstein</t>
  </si>
  <si>
    <t>Tier 9</t>
  </si>
  <si>
    <t>Suzhou</t>
  </si>
  <si>
    <t>Tier 10</t>
  </si>
  <si>
    <t>Denmark</t>
  </si>
  <si>
    <t>Euro</t>
  </si>
  <si>
    <t>Finland</t>
  </si>
  <si>
    <t>Dynapack: 55Whr: 6 Cell</t>
  </si>
  <si>
    <t>France</t>
  </si>
  <si>
    <t>Germany</t>
  </si>
  <si>
    <t>Greece</t>
  </si>
  <si>
    <t>Hong Kong</t>
  </si>
  <si>
    <t>Hungary</t>
  </si>
  <si>
    <t>Iceland</t>
  </si>
  <si>
    <t>India</t>
  </si>
  <si>
    <t>Israel (Hebrew)</t>
  </si>
  <si>
    <t>Italy</t>
  </si>
  <si>
    <t>Japan</t>
  </si>
  <si>
    <t>Japan (English)</t>
  </si>
  <si>
    <t>Korea</t>
  </si>
  <si>
    <t>Latin America</t>
  </si>
  <si>
    <t>Nordic</t>
  </si>
  <si>
    <t>Norway</t>
  </si>
  <si>
    <t>Poland</t>
  </si>
  <si>
    <t>Portugal</t>
  </si>
  <si>
    <t>Russia</t>
  </si>
  <si>
    <t>Slovakia</t>
  </si>
  <si>
    <t>Slovenia</t>
  </si>
  <si>
    <t>South Africa</t>
  </si>
  <si>
    <t>Spain</t>
  </si>
  <si>
    <t>Sweden</t>
  </si>
  <si>
    <t>Sweden/Finland</t>
  </si>
  <si>
    <t>Switzerland</t>
  </si>
  <si>
    <t>Taiwan</t>
  </si>
  <si>
    <t>Thailand</t>
  </si>
  <si>
    <t>Turkey</t>
  </si>
  <si>
    <t>United Kingdom</t>
  </si>
  <si>
    <t>-00X</t>
  </si>
  <si>
    <t>-01X</t>
  </si>
  <si>
    <t>Ar</t>
  </si>
  <si>
    <t>-02X</t>
  </si>
  <si>
    <t>Br</t>
  </si>
  <si>
    <t>Bd Dvd</t>
  </si>
  <si>
    <t>-03X</t>
  </si>
  <si>
    <t>Ch</t>
  </si>
  <si>
    <t>-04X</t>
  </si>
  <si>
    <t>Cs</t>
  </si>
  <si>
    <t>-05X</t>
  </si>
  <si>
    <t>Dk</t>
  </si>
  <si>
    <t>-06X</t>
  </si>
  <si>
    <t>Fi</t>
  </si>
  <si>
    <t>-07X</t>
  </si>
  <si>
    <t>Fr</t>
  </si>
  <si>
    <t>Hd Dvd</t>
  </si>
  <si>
    <t>Intel 940Gml</t>
  </si>
  <si>
    <t>-08X</t>
  </si>
  <si>
    <t>Gk</t>
  </si>
  <si>
    <t>Intel 945Gm</t>
  </si>
  <si>
    <t>-09X</t>
  </si>
  <si>
    <t>Gr</t>
  </si>
  <si>
    <t>-10X</t>
  </si>
  <si>
    <t>Hu</t>
  </si>
  <si>
    <t>-12X</t>
  </si>
  <si>
    <t>Il</t>
  </si>
  <si>
    <t>-13X</t>
  </si>
  <si>
    <t>It</t>
  </si>
  <si>
    <t>-14X</t>
  </si>
  <si>
    <t>Jp</t>
  </si>
  <si>
    <t>-16X</t>
  </si>
  <si>
    <t>Kr</t>
  </si>
  <si>
    <t>-17X</t>
  </si>
  <si>
    <t>-20X</t>
  </si>
  <si>
    <t>Nl</t>
  </si>
  <si>
    <t>Intel: T2050: 1.6Ghz</t>
  </si>
  <si>
    <t>-21X</t>
  </si>
  <si>
    <t>Intel: T2300: 1.66Ghz</t>
  </si>
  <si>
    <t>-22X</t>
  </si>
  <si>
    <t>Pl</t>
  </si>
  <si>
    <t>Intel: T2300E: 1.66Ghz</t>
  </si>
  <si>
    <t>-23X</t>
  </si>
  <si>
    <t>Pt</t>
  </si>
  <si>
    <t>Intel: Celeron 410M: 1.46Ghz</t>
  </si>
  <si>
    <t>-24X</t>
  </si>
  <si>
    <t>Ru</t>
  </si>
  <si>
    <t>Intel: Celeron 420M: 1.6Ghz</t>
  </si>
  <si>
    <t>-25X</t>
  </si>
  <si>
    <t>Se</t>
  </si>
  <si>
    <t>Intel: T1300: 1.67Ghz</t>
  </si>
  <si>
    <t>-28X</t>
  </si>
  <si>
    <t>Sp</t>
  </si>
  <si>
    <t>Intel: T1400: 1.83Ghz</t>
  </si>
  <si>
    <t>-29X</t>
  </si>
  <si>
    <t>Tr</t>
  </si>
  <si>
    <t>-33X</t>
  </si>
  <si>
    <t>Tw</t>
  </si>
  <si>
    <t>-35X</t>
  </si>
  <si>
    <t>Tz</t>
  </si>
  <si>
    <t>-37X</t>
  </si>
  <si>
    <t>-39X</t>
  </si>
  <si>
    <t>-A4X</t>
  </si>
  <si>
    <t>-Aax</t>
  </si>
  <si>
    <t>-Abx</t>
  </si>
  <si>
    <t>-Acx</t>
  </si>
  <si>
    <t>Prc (Ch,En)</t>
  </si>
  <si>
    <t>-Adx</t>
  </si>
  <si>
    <t>Prc Chinese</t>
  </si>
  <si>
    <t>-Arx</t>
  </si>
  <si>
    <t>-B7X</t>
  </si>
  <si>
    <t>-Bax</t>
  </si>
  <si>
    <t>-Bbx</t>
  </si>
  <si>
    <t>-Bgx</t>
  </si>
  <si>
    <t>-D0X</t>
  </si>
  <si>
    <t>-D6X</t>
  </si>
  <si>
    <t>-Dbx</t>
  </si>
  <si>
    <t>-Ddx</t>
  </si>
  <si>
    <t>-Dhx</t>
  </si>
  <si>
    <t>-Djx</t>
  </si>
  <si>
    <t>-Dmx</t>
  </si>
  <si>
    <t>-Kax</t>
  </si>
  <si>
    <t>Bulgarian</t>
  </si>
  <si>
    <t>THAI</t>
  </si>
  <si>
    <t>Pre OS</t>
  </si>
  <si>
    <t>Out-Of-Cycle</t>
  </si>
  <si>
    <t>Sustaining System Integration Test</t>
  </si>
  <si>
    <t>Image Number</t>
  </si>
  <si>
    <t>Sku/Po+</t>
  </si>
  <si>
    <t>Software</t>
  </si>
  <si>
    <t>Ms Basics</t>
  </si>
  <si>
    <t>Absolut 1.0</t>
  </si>
  <si>
    <t>Wxp Pro (64)</t>
  </si>
  <si>
    <t>Charbay 1.0</t>
  </si>
  <si>
    <t>Celxpert: 47Whr: 6 Cell</t>
  </si>
  <si>
    <t>Office Professional</t>
  </si>
  <si>
    <t>Dynapack: 59Whr: 8 Cell</t>
  </si>
  <si>
    <t>Office Ready</t>
  </si>
  <si>
    <t>Standard</t>
  </si>
  <si>
    <t>Dynapack: 83Whr: 9 Cell</t>
  </si>
  <si>
    <t>Ikon</t>
  </si>
  <si>
    <t>Dynapack: 47Whr: 6 Cell</t>
  </si>
  <si>
    <t>Olifant 1.0</t>
  </si>
  <si>
    <t>Broadcom: 802.11 B/G (Barolo)</t>
  </si>
  <si>
    <t>Intel:Cantiga</t>
  </si>
  <si>
    <t>Pearl/Prince 1.0</t>
  </si>
  <si>
    <t>Expresscard: Media Reader</t>
  </si>
  <si>
    <t>Skyy 1.0</t>
  </si>
  <si>
    <t>Tanqueray/Turi 1.0</t>
  </si>
  <si>
    <t>Tecate Tsingtao 1.0</t>
  </si>
  <si>
    <t>Vox 1.0</t>
  </si>
  <si>
    <t>Zygo/Zodiac</t>
  </si>
  <si>
    <t>Simplo: 47Whr: 6 Cell</t>
  </si>
  <si>
    <t>Intel: Penryn Celeron</t>
  </si>
  <si>
    <t>Simplo: 63Whr: 8 Cell</t>
  </si>
  <si>
    <t>Amd: Rs780</t>
  </si>
  <si>
    <t>-Xx1</t>
  </si>
  <si>
    <t>-Xx2</t>
  </si>
  <si>
    <t>Office Personal W Pp</t>
  </si>
  <si>
    <t>Agere: 56K V.92 Mdc Data/Fax Modem (Vulcan)</t>
  </si>
  <si>
    <t>Amd Rs780</t>
  </si>
  <si>
    <t>Dvi Dual-Link Monitor</t>
  </si>
  <si>
    <t>-Xx3</t>
  </si>
  <si>
    <t>Office Personal W/O Pp</t>
  </si>
  <si>
    <t>Dvi Dual-Link Projector</t>
  </si>
  <si>
    <t>-Xx4</t>
  </si>
  <si>
    <t>Ati: M82S</t>
  </si>
  <si>
    <t>Dvi Dual-Link Tv</t>
  </si>
  <si>
    <t>-Xx5</t>
  </si>
  <si>
    <t>Hynix: 1024Mb</t>
  </si>
  <si>
    <t>Intel: 10/100/1000 Nic W/ Iamt (Boazman)</t>
  </si>
  <si>
    <t>Ati: Rs690</t>
  </si>
  <si>
    <t>Intel 965Gm Santa Rosa Crestline</t>
  </si>
  <si>
    <t>-Xx6</t>
  </si>
  <si>
    <t>Intel 965Gml Santa Rosa Crestline</t>
  </si>
  <si>
    <t>-Xx7</t>
  </si>
  <si>
    <t>Intel 965Pm Santa Rosa Crestline</t>
  </si>
  <si>
    <t>-Xx8</t>
  </si>
  <si>
    <t>Intel: 965Gm</t>
  </si>
  <si>
    <t>-Xx9</t>
  </si>
  <si>
    <t>Samsung: 1024Mb</t>
  </si>
  <si>
    <t/>
  </si>
  <si>
    <t>Expresscard: Ssd</t>
  </si>
  <si>
    <t>Sdi: 47Whr: 6 Cell</t>
  </si>
  <si>
    <t>Intel: Penryn: 2.4Ghz</t>
  </si>
  <si>
    <t>Chinese (TW)</t>
  </si>
  <si>
    <t>Traditional Chinese (TZ)</t>
  </si>
  <si>
    <t>Automated Dashing Test</t>
  </si>
  <si>
    <t>Linux (ReadHat)</t>
  </si>
  <si>
    <t>W7HB</t>
  </si>
  <si>
    <t>W7HP</t>
  </si>
  <si>
    <t>W7U</t>
  </si>
  <si>
    <t>W7E</t>
  </si>
  <si>
    <t>W7HB64</t>
  </si>
  <si>
    <t>Win7 Home Basic (64)</t>
  </si>
  <si>
    <t>W7HP64</t>
  </si>
  <si>
    <t>Win7 Home Premium (64)</t>
  </si>
  <si>
    <t>W7U64</t>
  </si>
  <si>
    <t>Win7 Ultimate (64)</t>
  </si>
  <si>
    <t>W7E64</t>
  </si>
  <si>
    <t>Win7 Enterprise (64)</t>
  </si>
  <si>
    <t>RCTO Image</t>
  </si>
  <si>
    <t>Win7 Home Basic (32)</t>
  </si>
  <si>
    <t>Win7 Home Premium (32)</t>
  </si>
  <si>
    <t>W7P</t>
  </si>
  <si>
    <t>Win7 Pro (32)</t>
  </si>
  <si>
    <t>Win7 Ultimate (32)</t>
  </si>
  <si>
    <t>Win7 Enterprise (32)</t>
  </si>
  <si>
    <t>W7P64</t>
  </si>
  <si>
    <t>Win7 Pro (64)</t>
  </si>
  <si>
    <t>W7S</t>
  </si>
  <si>
    <t>Win7 Starter (32)</t>
  </si>
  <si>
    <t>Camera Vendor+</t>
  </si>
  <si>
    <t>Display Panel+</t>
  </si>
  <si>
    <t>Dock Bay Device+</t>
  </si>
  <si>
    <t>Memory Slot 3+</t>
  </si>
  <si>
    <t>Memory Slot 4+</t>
  </si>
  <si>
    <t>Travel Battery+</t>
  </si>
  <si>
    <t>Unit Battery+</t>
  </si>
  <si>
    <t>Unit Upgrade Bay Device+</t>
  </si>
  <si>
    <t>Image Region</t>
  </si>
  <si>
    <t>Raid</t>
  </si>
  <si>
    <t>Wireless Lan+</t>
  </si>
  <si>
    <t>Wireless Wan+</t>
  </si>
  <si>
    <t>Camera+</t>
  </si>
  <si>
    <t>W.L.K. Version</t>
  </si>
  <si>
    <t>Error Type</t>
  </si>
  <si>
    <t>Test Tool</t>
  </si>
  <si>
    <t>Test Case</t>
  </si>
  <si>
    <t>Wireless Lan Status</t>
  </si>
  <si>
    <t>No Service Pack</t>
  </si>
  <si>
    <t>Disabled</t>
  </si>
  <si>
    <t>A.00</t>
  </si>
  <si>
    <t>Available</t>
  </si>
  <si>
    <t>Enabled</t>
  </si>
  <si>
    <t>W.L.K. 1.0C</t>
  </si>
  <si>
    <t>Black Screen</t>
  </si>
  <si>
    <t>Standby Only</t>
  </si>
  <si>
    <t>Celxpert: 2.55Ahr: 4 Cell</t>
  </si>
  <si>
    <t>Adriatic Region</t>
  </si>
  <si>
    <t>Service Pack 1</t>
  </si>
  <si>
    <t>Raid 0</t>
  </si>
  <si>
    <t>A.01</t>
  </si>
  <si>
    <t>Hidden</t>
  </si>
  <si>
    <t>Sierra: Evdo: (Quail)</t>
  </si>
  <si>
    <t>On/Provisioned</t>
  </si>
  <si>
    <t>W.L.K. 1.1</t>
  </si>
  <si>
    <t>Blank Screen</t>
  </si>
  <si>
    <t>Hibernation Only</t>
  </si>
  <si>
    <t>Bison</t>
  </si>
  <si>
    <t>Service Pack 2</t>
  </si>
  <si>
    <t>Expresscard Smart Card Reader</t>
  </si>
  <si>
    <t>Armani 1.0</t>
  </si>
  <si>
    <t>Raid 1</t>
  </si>
  <si>
    <t>A.02</t>
  </si>
  <si>
    <t>Film.Com</t>
  </si>
  <si>
    <t>Sierra: Evdo: (Warbler)</t>
  </si>
  <si>
    <t>W.L.K. 1.2</t>
  </si>
  <si>
    <t>Bluescreen</t>
  </si>
  <si>
    <t>Manual</t>
  </si>
  <si>
    <t>Restart Only</t>
  </si>
  <si>
    <t>Service Pack 3</t>
  </si>
  <si>
    <t>A.03</t>
  </si>
  <si>
    <t>Sierra: Hsdpa: (Sora)</t>
  </si>
  <si>
    <t>W.L.K. 1.3</t>
  </si>
  <si>
    <t>Hard Lock</t>
  </si>
  <si>
    <t>Standby Focus</t>
  </si>
  <si>
    <t>Peugeot 1.0</t>
  </si>
  <si>
    <t>Agere: (Guzzi)</t>
  </si>
  <si>
    <t>U</t>
  </si>
  <si>
    <t>Service Pack 4</t>
  </si>
  <si>
    <t>Cartier 1.0</t>
  </si>
  <si>
    <t>A.04</t>
  </si>
  <si>
    <t>Www.Apple.Com/Itunes</t>
  </si>
  <si>
    <t>W.L.K. 1.4</t>
  </si>
  <si>
    <t>Soft Lock</t>
  </si>
  <si>
    <t>Hibernation Focus</t>
  </si>
  <si>
    <t>Movado 1.0</t>
  </si>
  <si>
    <t>Win7 Home Basic</t>
  </si>
  <si>
    <t>Win7 Professional (64)</t>
  </si>
  <si>
    <t>A.05</t>
  </si>
  <si>
    <t>Broadcom: 802.11 B/G (Sangria)</t>
  </si>
  <si>
    <t>Win7 Home Premium</t>
  </si>
  <si>
    <t>Comm 500</t>
  </si>
  <si>
    <t>A.06</t>
  </si>
  <si>
    <t>Broadcom: 802.11 B/G/N (Sangria)</t>
  </si>
  <si>
    <t>Critical Hibernation</t>
  </si>
  <si>
    <t>Seiko</t>
  </si>
  <si>
    <t>Win7 Professional</t>
  </si>
  <si>
    <t>A.07</t>
  </si>
  <si>
    <t>Cypress: Pointstick Only</t>
  </si>
  <si>
    <t>Www.Youtube.Com</t>
  </si>
  <si>
    <t>Omega Slice</t>
  </si>
  <si>
    <t>90W Smart Auto Adapter</t>
  </si>
  <si>
    <t>Win7 Ultimate</t>
  </si>
  <si>
    <t>Brazil (English)</t>
  </si>
  <si>
    <t>Danzka/Dubra</t>
  </si>
  <si>
    <t>Win7: Bubbles</t>
  </si>
  <si>
    <t>A.08</t>
  </si>
  <si>
    <t>Cypress: Touchpad &amp; Pointstick Combo</t>
  </si>
  <si>
    <t>Intel: Hanksville</t>
  </si>
  <si>
    <t>Skagen</t>
  </si>
  <si>
    <t>Win7 Enterprise</t>
  </si>
  <si>
    <t>Bulgaria</t>
  </si>
  <si>
    <t>Dior 1.0 (Auburndale)</t>
  </si>
  <si>
    <t>Win7: Mystify</t>
  </si>
  <si>
    <t>A.09</t>
  </si>
  <si>
    <t>Cypress: Touchpad Only</t>
  </si>
  <si>
    <t>Marvell 88E: 8072</t>
  </si>
  <si>
    <t>Win7 Starter</t>
  </si>
  <si>
    <t>Dior 1.0 (Clarksfield)</t>
  </si>
  <si>
    <t>Win7: Ribbons</t>
  </si>
  <si>
    <t>A.10</t>
  </si>
  <si>
    <t>Marvell 88E: 8075</t>
  </si>
  <si>
    <t>Privacy Film</t>
  </si>
  <si>
    <t>Comm - W (Elitebook)</t>
  </si>
  <si>
    <t>Win7: Text</t>
  </si>
  <si>
    <t>A.11</t>
  </si>
  <si>
    <t>Svideo</t>
  </si>
  <si>
    <t>A.12</t>
  </si>
  <si>
    <t>Composite Video</t>
  </si>
  <si>
    <t>Fossil 1.0</t>
  </si>
  <si>
    <t>Ms Office 2007</t>
  </si>
  <si>
    <t>A.13</t>
  </si>
  <si>
    <t>Hynix: 64Mx16</t>
  </si>
  <si>
    <t>Galileo 1.0</t>
  </si>
  <si>
    <t>A.14</t>
  </si>
  <si>
    <t>Qimonda: 64Mx16</t>
  </si>
  <si>
    <t>Galileo 1.6</t>
  </si>
  <si>
    <t>A.15</t>
  </si>
  <si>
    <t>Samsung: 64Mx16</t>
  </si>
  <si>
    <t>Gucci 1.0</t>
  </si>
  <si>
    <t>A.16</t>
  </si>
  <si>
    <t>Hamilton 1.0</t>
  </si>
  <si>
    <t>A.17</t>
  </si>
  <si>
    <t>A.18</t>
  </si>
  <si>
    <t>Hermes 1.0</t>
  </si>
  <si>
    <t>A.19</t>
  </si>
  <si>
    <t>Intel Calpella</t>
  </si>
  <si>
    <t>Hublot 1.0</t>
  </si>
  <si>
    <t>A.20</t>
  </si>
  <si>
    <t>Ikepod 1.0</t>
  </si>
  <si>
    <t>A.21</t>
  </si>
  <si>
    <t>A.22</t>
  </si>
  <si>
    <t>Invicta 1.0</t>
  </si>
  <si>
    <t>A.23</t>
  </si>
  <si>
    <t>Meson</t>
  </si>
  <si>
    <t>A.24</t>
  </si>
  <si>
    <t>A.25</t>
  </si>
  <si>
    <t>Omega 1.0</t>
  </si>
  <si>
    <t>A.26</t>
  </si>
  <si>
    <t>A.27</t>
  </si>
  <si>
    <t>Patek 1.0</t>
  </si>
  <si>
    <t>A.28</t>
  </si>
  <si>
    <t>Latin America (English)</t>
  </si>
  <si>
    <t>A.29</t>
  </si>
  <si>
    <t>Piaget 1.0</t>
  </si>
  <si>
    <t>A.30</t>
  </si>
  <si>
    <t>Piaget 1.5</t>
  </si>
  <si>
    <t>B.00</t>
  </si>
  <si>
    <t>Piaget 2.0</t>
  </si>
  <si>
    <t>B.01</t>
  </si>
  <si>
    <t>B.02</t>
  </si>
  <si>
    <t>Pan Euro</t>
  </si>
  <si>
    <t>Proton 1.0</t>
  </si>
  <si>
    <t>B.03</t>
  </si>
  <si>
    <t>Rado 1.0</t>
  </si>
  <si>
    <t>B.04</t>
  </si>
  <si>
    <t>B.05</t>
  </si>
  <si>
    <t>Singapore</t>
  </si>
  <si>
    <t>B.06</t>
  </si>
  <si>
    <t>B.07</t>
  </si>
  <si>
    <t>Simplo/Sony: 55Whr: 2.2</t>
  </si>
  <si>
    <t>Swatch 1.0</t>
  </si>
  <si>
    <t>B.08</t>
  </si>
  <si>
    <t>Simplo: 55Whr: 2.55</t>
  </si>
  <si>
    <t>Tag 1.0 (Shrike)</t>
  </si>
  <si>
    <t>B.09</t>
  </si>
  <si>
    <t>Simplo/Lchem: 55Whr: 2.55</t>
  </si>
  <si>
    <t>Tag 1.0 (Tigris)</t>
  </si>
  <si>
    <t>B.10</t>
  </si>
  <si>
    <t>B.11</t>
  </si>
  <si>
    <t>B.12</t>
  </si>
  <si>
    <t>Velvet/Vostok 1.0</t>
  </si>
  <si>
    <t>B.13</t>
  </si>
  <si>
    <t>Versace 1.0</t>
  </si>
  <si>
    <t>B.14</t>
  </si>
  <si>
    <t>B.15</t>
  </si>
  <si>
    <t>B.16</t>
  </si>
  <si>
    <t>Volna 1.0</t>
  </si>
  <si>
    <t>B.17</t>
  </si>
  <si>
    <t>B.18</t>
  </si>
  <si>
    <t>Vulcain 1.0</t>
  </si>
  <si>
    <t>B.19</t>
  </si>
  <si>
    <t>Zenith 1.0</t>
  </si>
  <si>
    <t>B.20</t>
  </si>
  <si>
    <t>Zeno 1.0</t>
  </si>
  <si>
    <t>B.21</t>
  </si>
  <si>
    <t>B.22</t>
  </si>
  <si>
    <t>B.23</t>
  </si>
  <si>
    <t>B.24</t>
  </si>
  <si>
    <t>B.25</t>
  </si>
  <si>
    <t>B.26</t>
  </si>
  <si>
    <t>B.27</t>
  </si>
  <si>
    <t>B.28</t>
  </si>
  <si>
    <t>B.29</t>
  </si>
  <si>
    <t>B.30</t>
  </si>
  <si>
    <t>F.00</t>
  </si>
  <si>
    <t>F.01</t>
  </si>
  <si>
    <t>F.02</t>
  </si>
  <si>
    <t>F.03</t>
  </si>
  <si>
    <t>F.04</t>
  </si>
  <si>
    <t>F.05</t>
  </si>
  <si>
    <t>F.06</t>
  </si>
  <si>
    <t>F.07</t>
  </si>
  <si>
    <t>F.08</t>
  </si>
  <si>
    <t>F.09</t>
  </si>
  <si>
    <t>F.10</t>
  </si>
  <si>
    <t>F.11</t>
  </si>
  <si>
    <t>F.12</t>
  </si>
  <si>
    <t>F.13</t>
  </si>
  <si>
    <t>F.14</t>
  </si>
  <si>
    <t>F.15</t>
  </si>
  <si>
    <t>F.16</t>
  </si>
  <si>
    <t>F.17</t>
  </si>
  <si>
    <t>F.18</t>
  </si>
  <si>
    <t>F.19</t>
  </si>
  <si>
    <t>F.20</t>
  </si>
  <si>
    <t>Hp Accessory</t>
  </si>
  <si>
    <t>Os Service Pack</t>
  </si>
  <si>
    <t>Sata Device Mode</t>
  </si>
  <si>
    <t>Tpm</t>
  </si>
  <si>
    <t>Vpro+</t>
  </si>
  <si>
    <t>Tpm Enabled</t>
  </si>
  <si>
    <t>Vt</t>
  </si>
  <si>
    <t>Txt</t>
  </si>
  <si>
    <t>Me Version+</t>
  </si>
  <si>
    <t>Auo: 10.1 Sd Ag: B101Aw01 V.2</t>
  </si>
  <si>
    <t>Fujitsu: Sata 120Gb: 5400Rpm: Mhy2120Bh</t>
  </si>
  <si>
    <t>Amd: Athlon Ql-60: 1.9Ghz</t>
  </si>
  <si>
    <t>Us</t>
  </si>
  <si>
    <t>Winpvt</t>
  </si>
  <si>
    <t>Hlds:Pata Odd Combo 9.5Mm - Std:Gcc-4247N</t>
  </si>
  <si>
    <t>Auo: 12.1 Wxga Ag Ledbl Panel: B121Ew07 V.0</t>
  </si>
  <si>
    <t>Hp 2400 Series Docking Station: 1.0</t>
  </si>
  <si>
    <t>Fujitsu: Sata 120Gb: 5400Rpm: Mhz2120Bh G2</t>
  </si>
  <si>
    <t>Usb Floppy Drive</t>
  </si>
  <si>
    <t>Elpida: 1024Mb: Ddr2 667Mhz (Pc5300): Ebe11Ue6Acua-6E-E</t>
  </si>
  <si>
    <t>Hlds: Pata Odd Combo 9.5Mm - Std:Gcc-4247N</t>
  </si>
  <si>
    <t>Expresscard Mogo Mouse</t>
  </si>
  <si>
    <t>Ide</t>
  </si>
  <si>
    <t>Broadcom: Integrated 5784 10/100/1000 Nic</t>
  </si>
  <si>
    <t>2Mp</t>
  </si>
  <si>
    <t>Winpmt</t>
  </si>
  <si>
    <t>Hlds:Pata Odd Dvd - Sm - Dl - 9.5Mm - 2.4X Mb2:Gsa-U10N</t>
  </si>
  <si>
    <t>Hp 2700 Ultra-Slim Expansion Base: 1.0</t>
  </si>
  <si>
    <t>Fujitsu: Sata 120Gb: 7200Rpm: Mhw2120Bj G1</t>
  </si>
  <si>
    <t>250Gb Sata Upgrade Bay Hdd 5400Rpm</t>
  </si>
  <si>
    <t>Elpida: 1024Mb: Ddr2 800Mhz (Pc6400): Ebe11Ue6Acua-8G-E</t>
  </si>
  <si>
    <t>Hlds: Pata Odd Dvd 8X: Gdr-D10N Aa</t>
  </si>
  <si>
    <t>Bg</t>
  </si>
  <si>
    <t>Ahci</t>
  </si>
  <si>
    <t>Vga</t>
  </si>
  <si>
    <t>On/Unprovisioned</t>
  </si>
  <si>
    <t>Hlds:Pata Odd Dvd - Sm - Dl - 9.5Mm - 2.4X Std.:Gsa-U10N</t>
  </si>
  <si>
    <t>Hp Usb 2.0 Docking Station With Video</t>
  </si>
  <si>
    <t>Fujitsu: Sata 120Gb: 7200Rpm: Mhw2120Bj G2</t>
  </si>
  <si>
    <t>Sata Upgrade Bay Dl Dvd +/- Rw (W/Lightscribe)</t>
  </si>
  <si>
    <t>Elpida: 1024Mb: Ddr2 800Mhz (Pc6400): Ebe11Ue6Acua-8G-F</t>
  </si>
  <si>
    <t>Hlds: Pata Odd Dvd 8X:Gdr-8084N</t>
  </si>
  <si>
    <t>Bixbyan 1.0</t>
  </si>
  <si>
    <t>Irrt On Dock</t>
  </si>
  <si>
    <t>Broadcom: Integrated 5788 10/100/1000 Nic</t>
  </si>
  <si>
    <t>Hlds:Pata Odd Dvd Combo 9.5Mm - Mb2:Gcc-4247N</t>
  </si>
  <si>
    <t>Auo: 14.0 Hd: B140Xw01 V2</t>
  </si>
  <si>
    <t>Fujitsu: Sata 160Gb: 5400Rpm: Mhy2160Bh</t>
  </si>
  <si>
    <t>Hp Monitor Stand (Blizzard)</t>
  </si>
  <si>
    <t>Elpida: 2048Mb: Ddr2 667Mhz (Pc5300): Ebe21Ue8Acua-6E-E</t>
  </si>
  <si>
    <t>Amd: Sempron Si-40: 2.0Ghz</t>
  </si>
  <si>
    <t>Hlds: Pata Odd Dvd 8X:Gdr-D10N</t>
  </si>
  <si>
    <t>Irrt On Unit</t>
  </si>
  <si>
    <t>Qualcomm: Undp: (Gobi 1.0/Birddog)</t>
  </si>
  <si>
    <t>Hlds:Pata Odd Dvd-Rom 9.5Mm - Mb2:Gdr-8087N</t>
  </si>
  <si>
    <t>Auo: 14.0 Hd: B140Xw01 V3</t>
  </si>
  <si>
    <t>Ati: M86-M</t>
  </si>
  <si>
    <t>Fujitsu: Sata 160Gb: 5400Rpm: Mhz2160Bh G2</t>
  </si>
  <si>
    <t>Hp Adjustable Notebook Stand (Salomon)</t>
  </si>
  <si>
    <t>Elpida: 2048Mb: Ddr2 800Mhz (Pc6400): Ebe21Ue8Acua-8G-E</t>
  </si>
  <si>
    <t>Hlds: Pata Odd Dvd Combo 24X:Gcc-4244N</t>
  </si>
  <si>
    <t>Comm - B (Compaq)</t>
  </si>
  <si>
    <t>Qimonda: 1024Mb</t>
  </si>
  <si>
    <t>Qualcomm: Undp: (Gobi 2.0/Birlion)</t>
  </si>
  <si>
    <t>Standby To Hibernation Timeout Focus</t>
  </si>
  <si>
    <t>Panasonic:Pata Odd Combo 9.5Mm - Std:Ujda775Hp5-A</t>
  </si>
  <si>
    <t>Hp Usb 2.0 Essential Docking Station</t>
  </si>
  <si>
    <t>Fujitsu: Sata 160Gb: 5400Rpm: Mja2160Bh G2</t>
  </si>
  <si>
    <t>Hp 1-Bay Battery Charging Station</t>
  </si>
  <si>
    <t>Elpida: 2048Mb: Ddr2 800Mhz (Pc6400): Ebe21Ue8Aesa-8G-F</t>
  </si>
  <si>
    <t>Dynapack/Lgchem: 28Whr: 3 Cell</t>
  </si>
  <si>
    <t>Hlds: Pata Odd Dvd Combo 24X:Gcc-C10N</t>
  </si>
  <si>
    <t>Qimonda: 128Mb</t>
  </si>
  <si>
    <t>Ericsson: Hspa: (Seadog)</t>
  </si>
  <si>
    <t>Panasonic:Pata Odd Dvd - Sm - 7Mm - Std:Uj-844S</t>
  </si>
  <si>
    <t>Auo: 14.1 Wxga Ag: B141Ew04 V.3</t>
  </si>
  <si>
    <t>Fujitsu: Sata 160Gb: 7200Rpm: Mhw2160Bj G1</t>
  </si>
  <si>
    <t>Hp 5-Bay Battery Charging Station</t>
  </si>
  <si>
    <t>Hynix: 1024Mb: Ddr2 667Mhz (Pc5300): Hymp112S64Cp6-Y5</t>
  </si>
  <si>
    <t>Dynapack/Sdi: 28Whr: 3 Cell</t>
  </si>
  <si>
    <t>Hlds: Pata Odd Dvd Sm - Dl - 4X Std.:Gsa-T10N</t>
  </si>
  <si>
    <t>Comm - P (Elitebook)</t>
  </si>
  <si>
    <t>Ea</t>
  </si>
  <si>
    <t>Crossplatform 2008</t>
  </si>
  <si>
    <t>Qimonda: 256Mb</t>
  </si>
  <si>
    <t>Qualcomm: Undp: Tiger-Dragon</t>
  </si>
  <si>
    <t>Winpvt + Black Screen</t>
  </si>
  <si>
    <t>Panasonic:Pata Odd Dvd - Sm - Dl - 9.5Mm - 2.4X Mb2:Uj-842Bhc2-D</t>
  </si>
  <si>
    <t>Auo: 14.1 Wxga Bv: B141Ew04 V4</t>
  </si>
  <si>
    <t>Fujitsu: Sata 160Gb: 7200Rpm: Mhw2160Bj G2</t>
  </si>
  <si>
    <t>Hynix: 1024Mb: Ddr2 800Mhz (Pc6400): Hymp112S64Cp6-S6</t>
  </si>
  <si>
    <t>Intel Ge Montevina</t>
  </si>
  <si>
    <t>Stl Tech.: 52Whr: 8 Cell</t>
  </si>
  <si>
    <t>Dynapack: 28Whr: 3 Cell</t>
  </si>
  <si>
    <t>Hlds: Pata Odd Dvd Sm - Dl - 4X Std.:Gsa-T20N</t>
  </si>
  <si>
    <t>Comm - S (Compaq)</t>
  </si>
  <si>
    <t>Ee</t>
  </si>
  <si>
    <t>Qimonda: 512Mb</t>
  </si>
  <si>
    <t>Winpvt + Blank Screen</t>
  </si>
  <si>
    <t>Panasonic:Pata Odd Dvd - Sm - Dl - 9.5Mm - 2.4X Std.:Uj-842Bhc1-A</t>
  </si>
  <si>
    <t>Auo: 14.1 Wxga+ Ag: B141Pw03 V.0</t>
  </si>
  <si>
    <t>Ati: Tx-Gl</t>
  </si>
  <si>
    <t>Fujitsu: Sata 160Gb: 7200Rpm: Mhz2160Bh G2</t>
  </si>
  <si>
    <t>65W Air/Auto/Ac Smart Combo Adapter</t>
  </si>
  <si>
    <t>Hynix: 1024Mb: Ddr2 800Mhz (Pc6400): Hymp112S6Efr6C-S6</t>
  </si>
  <si>
    <t>Amd: Turion Rm-70: 2.0Ghz</t>
  </si>
  <si>
    <t>Stl Tech.: 59Whr: 8 Cell</t>
  </si>
  <si>
    <t>Dynapack/Sdi: 55Whr: 6 Cell</t>
  </si>
  <si>
    <t>Hlds: Pata Odd Dvd Sm Dl Ls - 4X Std.:Gsa-4084N</t>
  </si>
  <si>
    <t>Comm - S (Probook)</t>
  </si>
  <si>
    <t>Eh</t>
  </si>
  <si>
    <t>Hp Optimized</t>
  </si>
  <si>
    <t>Winpvt + Bluescreen</t>
  </si>
  <si>
    <t>Panasonic:Pata Odd Dvd Combo 9.5Mm - Mb2:Ujda775Hp1-D</t>
  </si>
  <si>
    <t>Auo: 15.4 Wsxga+ Ag Wva: B154Sw01 V.9</t>
  </si>
  <si>
    <t>Fujitsu: Sata 250Gb: 5400Rpm: Mhy2250Bh</t>
  </si>
  <si>
    <t>Expresscard Smart Card Reader With Java Card</t>
  </si>
  <si>
    <t>Hynix: 2048Mb: Ddr2 667Mhz (Pc5300): Hymp125S64Cp8-Y5</t>
  </si>
  <si>
    <t>Amd: Turion Ultra Zm-80: 2.1Ghz</t>
  </si>
  <si>
    <t>Intel Gm Montevina</t>
  </si>
  <si>
    <t>Stl Tech.: 63Whr: 8 Cell</t>
  </si>
  <si>
    <t>Dynapack/Lgchem: 55Whr: 6 Cell</t>
  </si>
  <si>
    <t>Hlds: Pata Odd Dvd Sm Dl Ls - 4X Std:Gsa-T20L</t>
  </si>
  <si>
    <t>Comm - Mini (Hp)</t>
  </si>
  <si>
    <t>Ei</t>
  </si>
  <si>
    <t>Winpvt + Hard Lock</t>
  </si>
  <si>
    <t>Panasonic:Pata Odd Dvd-Rom - 9.5Mm - Std:Ujda775Hp3-A</t>
  </si>
  <si>
    <t>Auo: 15.4 Wxga Ag: B154Ew02 V.6</t>
  </si>
  <si>
    <t>Fujitsu: Sata 250Gb: 5400Rpm: Mhz2250Bh G2</t>
  </si>
  <si>
    <t>Hynix: 2048Mb: Ddr2 800Mhz (Pc6400): Hymp125S64Cp8-S6</t>
  </si>
  <si>
    <t>Amd: Turion Ultra Zm-82: 2.2Ghz</t>
  </si>
  <si>
    <t>Intel Gs Montevina</t>
  </si>
  <si>
    <t>Stl Tech.: 95Whr: 12 Cell</t>
  </si>
  <si>
    <t>Hlds: Sata Odd Bd-R/Re + Dvd Sm - 12.7Mm: Gbw-B10N</t>
  </si>
  <si>
    <t>Fc</t>
  </si>
  <si>
    <t>Intel: 82577-Lm</t>
  </si>
  <si>
    <t>Winpvt + Soft Lock</t>
  </si>
  <si>
    <t>Panasonic:Pata Odd Dvd-Rom 9.5Mm - Mb2:Ujda775Hp2-D</t>
  </si>
  <si>
    <t>Auo: 15.4 Wxga Ag: B154Ew08 V.0</t>
  </si>
  <si>
    <t>Intel:Calistoga 945Gse</t>
  </si>
  <si>
    <t>Fujitsu: Sata 250Gb: 5400Rpm: Mja2250Bh G2</t>
  </si>
  <si>
    <t>Hp Ps/2 Keyboard &amp; Mouse Bundle</t>
  </si>
  <si>
    <t>Hynix: 2048Mb: Ddr2 800Mhz (Pc6400): Hymp125S6Efr8C-S6</t>
  </si>
  <si>
    <t>Amd: Turion Ultra Zm-86: 2.4Ghz</t>
  </si>
  <si>
    <t>Intel Pm Montevina</t>
  </si>
  <si>
    <t>Hlds: Sata Odd Dvd 8X: Gdr-D10N</t>
  </si>
  <si>
    <t>Comm - M (Probook)</t>
  </si>
  <si>
    <t>Winpmt + Black Screen</t>
  </si>
  <si>
    <t>Auo: 15.4 Wxga Bv: B154Ew02 V.7</t>
  </si>
  <si>
    <t>Hlds: Sata Odd Bd Combo Ls - 12.7Mm: Ct10L</t>
  </si>
  <si>
    <t>Fujitsu: Sata 250Gb: 7200Rpm: Mhz2250Bj G2</t>
  </si>
  <si>
    <t>Hp Usb Keyboard &amp; Mouse Bundle</t>
  </si>
  <si>
    <t>Hynix: 512Mb: Ddr2 667Mhz (Pc5300): Hymp164S64Cp6-Y5</t>
  </si>
  <si>
    <t>Amd: Turion Rm-72: 2.1Ghz</t>
  </si>
  <si>
    <t>Intel Pme Montevina</t>
  </si>
  <si>
    <t>Hlds: Sata Odd Dvd Combo - 12.7Mm: Gcc-C20N</t>
  </si>
  <si>
    <t>Comm - B (Probook)</t>
  </si>
  <si>
    <t>Winpmt + Blank Screen</t>
  </si>
  <si>
    <t>Auo: 15.6 Fhd: B156Hw01 V3</t>
  </si>
  <si>
    <t>Fujitsu: Sata 320Gb: 5400Rpm: Mhz2320Bh G2</t>
  </si>
  <si>
    <t>Hp Usb/Ps2 Optical Scroll Mouse</t>
  </si>
  <si>
    <t>Hynix: 512Mb: Ddr2 800Mhz (Pc6400): Hymp164S64Cp6-S6</t>
  </si>
  <si>
    <t>Via Vn896</t>
  </si>
  <si>
    <t>Hlds: Sata Odd Dvd Combo - 12.7Mm: Gcc-C20N Aa</t>
  </si>
  <si>
    <t>Gb</t>
  </si>
  <si>
    <t>Winpmt + Bluescreen</t>
  </si>
  <si>
    <t>Auo: 15.6 Hd: B156Xw02 V0</t>
  </si>
  <si>
    <t>Fujitsu: Sata 320Gb: 5400Rpm: Mja2320Bh G2</t>
  </si>
  <si>
    <t>Hp Usb Optical Travel Mouse</t>
  </si>
  <si>
    <t>Micron: 1024Mb: Ddr2 667Mhz (Pc5300): Mt8Htf12864Hdy-667E1</t>
  </si>
  <si>
    <t>Hlds: Sata Odd Dvd Sm Dl - 9.5Mm: Gsa-U20N</t>
  </si>
  <si>
    <t>Winpmt + Hard Lock</t>
  </si>
  <si>
    <t>Auo: 15.6 Hd: B156Xw02 V1</t>
  </si>
  <si>
    <t>Fujitsu: Sata 320Gb: 7200Rpm: Mhz2320Bj G2</t>
  </si>
  <si>
    <t>Hp Bluetooth Expresscard Mouse</t>
  </si>
  <si>
    <t>Micron: 1024Mb: Ddr2 800Mhz (Pc6400): Mt8Htf12864Hdy-800E1</t>
  </si>
  <si>
    <t>Intel: Celeron 530: 1.73Ghz</t>
  </si>
  <si>
    <t>Intel Gs45</t>
  </si>
  <si>
    <t>Hlds: Sata Odd Dvd Sm Dl - 9.5Mm: Gsa-U20N Tbd</t>
  </si>
  <si>
    <t>Winpmt + Soft Lock</t>
  </si>
  <si>
    <t>Auo: 15.6 Hd+: B156Rw01 V1</t>
  </si>
  <si>
    <t>Nvidia: G94Glm</t>
  </si>
  <si>
    <t>Fujitsu: Sata 80Gb: 7200Rpm: Mhw2080Bj G1</t>
  </si>
  <si>
    <t>90W Air/Auto/Ac Smart Combo Adapter</t>
  </si>
  <si>
    <t>Micron: 1024Mb: Ddr2 800Mhz (Pc6400): Mt8Htf12864Hdy-800G1</t>
  </si>
  <si>
    <t>Intel: Celeron 540: 1.86Ghz</t>
  </si>
  <si>
    <t>Intel 945Gse Montevina</t>
  </si>
  <si>
    <t>Lgchem: 47Whr: 6 Cell</t>
  </si>
  <si>
    <t>Hlds: Sata Odd Dvd Sm Dl Ls - 12.7Mm: Gsa-T30L</t>
  </si>
  <si>
    <t>Hr</t>
  </si>
  <si>
    <t>Auo: 17.0 Wxga+ Ag: B170Pw06 V.3</t>
  </si>
  <si>
    <t>Nvidia: G96Glm</t>
  </si>
  <si>
    <t>Fujitsu: Sata 80Gb: 7200Rpm: Mhw2080Bj G2</t>
  </si>
  <si>
    <t>Micron: 2048Mb: Ddr2 667Mhz (Pc5300): Mt16Htf25664Hy-667E1</t>
  </si>
  <si>
    <t>Intel: Celeron 550: 2.00Ghz</t>
  </si>
  <si>
    <t>Amd Rs880</t>
  </si>
  <si>
    <t>Lgchem: 73Whr: 6 Cell</t>
  </si>
  <si>
    <t>Hlds: Sata Odd Dvd Sm Dl Ls - 12.7Mm: Gsa-T30L Aa</t>
  </si>
  <si>
    <t>Hangzhouan 1.0</t>
  </si>
  <si>
    <t>Auo: 17.0 Wxga+ Bv: B170Pw06 V.2</t>
  </si>
  <si>
    <t>Via: S3 Chrome Uma</t>
  </si>
  <si>
    <t>Hgst: Sata 120Gb: 5400Rpm: Hts542512K9A300</t>
  </si>
  <si>
    <t>Micron: 2048Mb: Ddr2 800Mhz (Pc6400): Mt16Htf25664Hy-800E1</t>
  </si>
  <si>
    <t>Intel: Celeron 560: 2.13Ghz</t>
  </si>
  <si>
    <t>Hlds: Sata Odd Dvd Sm Dl Ls - 12.7Mm: Gsa-T50L</t>
  </si>
  <si>
    <t>Id</t>
  </si>
  <si>
    <t>Auo: 17.3 Hd+: B173Rw01 V0</t>
  </si>
  <si>
    <t>Amd: M97Xt-Gl</t>
  </si>
  <si>
    <t>Hgst: Sata 120Gb: 5400Rpm: Hts542512K9Sa00</t>
  </si>
  <si>
    <t>Micron: 2048Mb: Ddr2 800Mhz (Pc6400): Mt16Htf25664Hy-800G1</t>
  </si>
  <si>
    <t>Hlds: Sata Odd Dvd Sm Dl Ls - 12.7Mm: Gt20L</t>
  </si>
  <si>
    <t>Auo: 17.3 Hd+: B173Rw01 V1</t>
  </si>
  <si>
    <t>Nviidia: N10E-Glm</t>
  </si>
  <si>
    <t>Hgst: Sata 120Gb: 7200Rpm: Hts722012K9A300</t>
  </si>
  <si>
    <t>Micron: 512Mb: Ddr2 667Mhz (Pc5300): Mt4Htf6464Hy-667E1</t>
  </si>
  <si>
    <t>Intel: Extreme Edition:3.06Ghz</t>
  </si>
  <si>
    <t>Amd Rx881</t>
  </si>
  <si>
    <t>Hlds: Sata Odd Dvd-Rom - 12.7Mm: Gdr-D20N</t>
  </si>
  <si>
    <t>Boe-Hydis: 12.1 Wxga; Ag; Ledbl; Wva; Digitizer Compatible: Hv121Wx5</t>
  </si>
  <si>
    <t>Nviidia: N10E-Glm3</t>
  </si>
  <si>
    <t>Hgst: Sata 120Gb: 7200Rpm: Hts722012K9Sa00</t>
  </si>
  <si>
    <t>Micron: 512Mb: Ddr2 800Mhz (Pc6400): Mt4Htf6464Hy-800E1</t>
  </si>
  <si>
    <t>Simplo/Sdi: 28Whr: 3 Cell</t>
  </si>
  <si>
    <t>Hlds: Sata Odd Dvd-Rom - 12.7Mm: Gdr-D20N Aa</t>
  </si>
  <si>
    <t>Boe-Hydis: 12.1 Wxga; Ag; Ledbl; Wva; Outdoor Viewing; Digitizer Compatible: Hx121Wx1</t>
  </si>
  <si>
    <t>Nviidia: N10E-Glm5</t>
  </si>
  <si>
    <t>Hgst: Sata 160Gb: 5400Rpm: Hts542516K9A300</t>
  </si>
  <si>
    <t>Nanya: 1024Mb: Ddr2 800Mhz (Pc6400): Nt1Gt64U8Hb0Bn-25D</t>
  </si>
  <si>
    <t>Intel: Penryn: 2.13Ghz</t>
  </si>
  <si>
    <t>Simplo/Lgchem: 28Whr: 3 Cell</t>
  </si>
  <si>
    <t>Hlds: Sata Odd Dvd-Rom - 9.5Mm: Du10N</t>
  </si>
  <si>
    <t>Boe-Hydis: 8.9 Wxga: Ht089Wx1</t>
  </si>
  <si>
    <t>Nvidia N10M-Ne-S</t>
  </si>
  <si>
    <t>Hgst: Sata 160Gb: 5400Rpm: Hts542516K9Sa00</t>
  </si>
  <si>
    <t>Nanya: 2048Mb: Ddr2 800Mhz (Pc6400): Nt2Gt64U8Hc0Bn-Ad</t>
  </si>
  <si>
    <t>Simplo: 28Whr: 3 Cell</t>
  </si>
  <si>
    <t>Hlds: Sata Odd Dvd-Rom - 9.5Mm: Du10N Aa</t>
  </si>
  <si>
    <t>Cmo: 10.1 Sd Ag: N101N6-L01</t>
  </si>
  <si>
    <t>Nvidia N10M-Glm</t>
  </si>
  <si>
    <t>Hgst: Sata 160Gb: 7200Rpm: Hts722016K9A300</t>
  </si>
  <si>
    <t>Promos: 1024Mb: Ddr2 667Mhz (Pc5300): V916765G24Qcfw-F5</t>
  </si>
  <si>
    <t>Intel: Penryn: 2.53Ghz</t>
  </si>
  <si>
    <t>Lt</t>
  </si>
  <si>
    <t>Cmo: 12.1 Wxga Ag Ledbl Panel: N121I6-L01</t>
  </si>
  <si>
    <t>Promos: 1024Mb: Ddr2 800Mhz (Pc6400): V916765G24Qcfw-G6</t>
  </si>
  <si>
    <t>Intel: Penryn: 2.86Ghz</t>
  </si>
  <si>
    <t>Optiarc: Pata Odd Dvd 8X: Ddu820A 101</t>
  </si>
  <si>
    <t>Lv</t>
  </si>
  <si>
    <t>Cmo: 14.0 Hd: N140B6-L01</t>
  </si>
  <si>
    <t>Nvidia N10P-Ns</t>
  </si>
  <si>
    <t>Hgst: Sata 160Gb: 7200Rpm: Hts722016K9Sa00</t>
  </si>
  <si>
    <t>Promos: 512Mb: Ddr2 667Mhz (Pc5300): V916764B24Qcfw-F5</t>
  </si>
  <si>
    <t>Optiarc: Pata Odd Dvd Combo 24X:Crx880A</t>
  </si>
  <si>
    <t>Cmo: 14.0 Hd+: N140B6-L02</t>
  </si>
  <si>
    <t>Nvidia N10P-Glm</t>
  </si>
  <si>
    <t>Hgst: Sata 160Gb: 7200Rpm: Hts723216L9A360</t>
  </si>
  <si>
    <t>Qimonda: 1024Mb: Ddr2 667Mhz (Pc5300): Hys64T128021Edl-3S-B2</t>
  </si>
  <si>
    <t>Simplo/Sdi: 55Whr: 6 Cell</t>
  </si>
  <si>
    <t>Optiarc: Pata Odd Dvd Combo 24X:Crx880A-H2</t>
  </si>
  <si>
    <t>Cmo: 14.0 Hd+: N140O6-L01</t>
  </si>
  <si>
    <t>Nvidia N10P-Glm4</t>
  </si>
  <si>
    <t>Hgst: Sata 200Gb: 7200Rpm: Hts722020K9A300</t>
  </si>
  <si>
    <t>Qimonda: 1024Mb: Ddr2 800Mhz (Pc6400): Hys64T128021Edl-2.5B2</t>
  </si>
  <si>
    <t>Simplo/Lgchem: 55Whr: 6 Cell</t>
  </si>
  <si>
    <t>Optiarc: Pata Odd Dvd Sm - Dl - 4X Std:Ad-7530A-H3</t>
  </si>
  <si>
    <t>Cmo: 14.1 Wxga Ag: N141I3-L01</t>
  </si>
  <si>
    <t>Amd: M92</t>
  </si>
  <si>
    <t>Hgst: Sata 200Gb: 7200Rpm: Hts722020K9Sa00</t>
  </si>
  <si>
    <t>Qimonda: 2048Mb: Ddr2 800Mhz (Pc6400): Hys64T256020Edl-2.5C2</t>
  </si>
  <si>
    <t>Optiarc: Sata Odd Bd Combo - 12.7Mm: Bc-5500S</t>
  </si>
  <si>
    <t>Cmo: 14.1 Wxga+ Ag: N141C3-L01</t>
  </si>
  <si>
    <t>Amd: M82Se</t>
  </si>
  <si>
    <t>Hgst: Sata 250Gb: 5400Rpm: Hts542525K9A300</t>
  </si>
  <si>
    <t>Qimonda: 2048Mb: Ddr2 800Mhz (Pc6400): Hys64T256620Edl-2.5-C</t>
  </si>
  <si>
    <t>Stl Tech.: 44Whr: 6 Cell</t>
  </si>
  <si>
    <t>Optiarc: Sata Odd Dvd 8X: Ddu820A</t>
  </si>
  <si>
    <t>Pz</t>
  </si>
  <si>
    <t>Cmo: 14.1 Wxga+ Ag: N141C3-L07</t>
  </si>
  <si>
    <t>Nvidia N10M Ns</t>
  </si>
  <si>
    <t>Qimonda: 4096Mb: Ddr2 800Mhz (Pc6400): Hys64T512022Edl-2.5-A</t>
  </si>
  <si>
    <t>Stl Tech.: 47Whr: 6 Cell</t>
  </si>
  <si>
    <t>Optiarc: Sata Odd Dvd Combo - 12.7Mm: Crx890S</t>
  </si>
  <si>
    <t>Ro</t>
  </si>
  <si>
    <t>Cmo: 15.4 Wsxga+ Ag Wva: N154Z1-L01</t>
  </si>
  <si>
    <t>Nvidia N10M Glm Ns</t>
  </si>
  <si>
    <t>Hgst: Sata 250Gb: 5400Rpm: Hts542525K9Sa00</t>
  </si>
  <si>
    <t>Qimonda: 1024Mb: Ddr2 800Mhz (Pc6400): Hys64T128020Edl-2 C2</t>
  </si>
  <si>
    <t>Optiarc: Sata Odd Dvd Combo - 12.7Mm: Crx890S 101</t>
  </si>
  <si>
    <t>Nw Africa</t>
  </si>
  <si>
    <t>Prescottan 1.0</t>
  </si>
  <si>
    <t>Cmo: 15.4 Wxga Ag: N15413-L03, C2</t>
  </si>
  <si>
    <t>Amd: M92S2</t>
  </si>
  <si>
    <t>Hgst: Sata 250Gb: 5400Rpm: Hts543225L9A300</t>
  </si>
  <si>
    <t>Qimonda: 4096Mb: Ddr2 800Mhz (Pc6400): Hys64T256020Edl-2 C2</t>
  </si>
  <si>
    <t>Intel: T7800: 2.6Ghz</t>
  </si>
  <si>
    <t>Optiarc: Sata Odd Dvd Combo - 12.7Mm: Crx890S 201</t>
  </si>
  <si>
    <t>Cmo: 15.4 Wxga Ag: N154I3-L02</t>
  </si>
  <si>
    <t>Ramaxel: 1024Mb: Ddr2 800Mhz (Pc6400): Rmn1150Ec48D7W-800</t>
  </si>
  <si>
    <t>Intel: T8100: 2.1Ghz</t>
  </si>
  <si>
    <t>Optiarc: Sata Odd Dvd Sm Dl Ls - 12.7Mm: Ad-7561S</t>
  </si>
  <si>
    <t>Sk</t>
  </si>
  <si>
    <t>Cmo: 15.4 Wxga Bv: N15413-L03, C2</t>
  </si>
  <si>
    <t>Hgst: Sata 250Gb: 7200Rpm: Hts723225L9A360</t>
  </si>
  <si>
    <t>Ramaxel: 2048Mb: Ddr2 800Mhz (Pc6400): Rmn1150Ec48D7W-800</t>
  </si>
  <si>
    <t>Intel: T8300: 2.4Ghz</t>
  </si>
  <si>
    <t>Optiarc: Sata Odd Dvd Sm Dl Ls - 12.7Mm: Ad-7581S</t>
  </si>
  <si>
    <t>Sl</t>
  </si>
  <si>
    <t>Cmo: 15.4 Wxga Bv: N154I3-L03</t>
  </si>
  <si>
    <t>Hgst: Sata 320Gb: 7200Rpm: Hts723232L9A360</t>
  </si>
  <si>
    <t>Samsung: 1024Mb: Ddr2 667Mhz (Pc5300): M470T2864Dz3-Ce6</t>
  </si>
  <si>
    <t>Intel: T9300: 2.5Ghz</t>
  </si>
  <si>
    <t>Stl Tech.: 73Whr: 6 Cell</t>
  </si>
  <si>
    <t>Optiarc: Sata Odd Dvd Sm Dl Ls - 12.7Mm: Ad-7561S 201</t>
  </si>
  <si>
    <t>Cmo: 15.6 Hd: N156B6-L03</t>
  </si>
  <si>
    <t>Hgst: Sata 80Gb: 7200Rpm: Hts722080K9A300</t>
  </si>
  <si>
    <t>Samsung: 1024Mb: Ddr2 667Mhz (Pc5300): M470T2864Qz3-Ce6</t>
  </si>
  <si>
    <t>Intel: T9500: 2.6Ghz</t>
  </si>
  <si>
    <t>Optiarc: Sata Odd Dvd-Rom - 12.7Mm: Ddu820S</t>
  </si>
  <si>
    <t>Sr</t>
  </si>
  <si>
    <t>Cmo: 15.6 Hd: N156B6-L04</t>
  </si>
  <si>
    <t>Samsung: 1024Mb: Ddr2 800Mhz (Pc6400): M470T2864Dz3-Cf7</t>
  </si>
  <si>
    <t>Optiarc: Sata Odd Dvd-Rom - 12.7Mm: Ddu820S 101</t>
  </si>
  <si>
    <t>Su</t>
  </si>
  <si>
    <t>Intel: Ssd Sata 128Gb: 2.5"</t>
  </si>
  <si>
    <t>Samsung: 1024Mb: Ddr2 800Mhz (Pc6400): M470T2864Qz3-Cf7</t>
  </si>
  <si>
    <t>Optiarc: Sata Odd Dvd-Rom - 12.7Mm: Ddu820S 201</t>
  </si>
  <si>
    <t>Te</t>
  </si>
  <si>
    <t>Cmo: 15.6 Hd: N156B6-L05</t>
  </si>
  <si>
    <t>Intel: Ssd Sata 256Gb: 2.5"</t>
  </si>
  <si>
    <t>Samsung: 1024Mb: Ddr2 800Mhz (Pc6400): M470T2864Eh3-Cf7</t>
  </si>
  <si>
    <t>Panasonic: Pata Odd Bd-R/Re + Dvdsm - 12.7Mm - Std:Uj-210S</t>
  </si>
  <si>
    <t>Th</t>
  </si>
  <si>
    <t>Cmo: 15.6 Hd: N156B6-L06</t>
  </si>
  <si>
    <t>Intel: Ssd Sata 64Gb: 2.5"</t>
  </si>
  <si>
    <t>Samsung: 2048Mb: Ddr2 667Mhz (Pc5300): M470T5663Cz3-Ce6</t>
  </si>
  <si>
    <t>Simplo/Sdi: 47Whr</t>
  </si>
  <si>
    <t>Panasonic: Pata Odd Combo 9.5Mm - Std:Ujda775Hp5-A</t>
  </si>
  <si>
    <t>Cmo: 15.6 Hd+: N156O6-L01</t>
  </si>
  <si>
    <t>Samsung: Ssd Sata 128Gb: 2.5": Mmcre28G5Mxp-0Vbh1</t>
  </si>
  <si>
    <t>Samsung: 2048Mb: Ddr2 667Mhz (Pc5300): M470T5663Qz3-Ce6</t>
  </si>
  <si>
    <t>Panasonic: 55Whr</t>
  </si>
  <si>
    <t>Panasonic: Pata Odd Dvd - Sm - 7Mm - Std:Uj-844S</t>
  </si>
  <si>
    <t>Cmo: 17.0 Wxga+ Ag: N170C2-L01</t>
  </si>
  <si>
    <t>Samsung: Ssd Sata 256Gb: 2.5": Mmdoe56G5Mxp-0Vbh1</t>
  </si>
  <si>
    <t>Samsung: 2048Mb: Ddr2 800Mhz (Pc6400): M470T5663Cz3-Cf7</t>
  </si>
  <si>
    <t>Sdi/Sdi: 61Whr</t>
  </si>
  <si>
    <t>Panasonic: Pata Odd Dvd - Sm - Dl - 9.5Mm - 2.4X Std.:Uj-842Bhc1-A</t>
  </si>
  <si>
    <t>Cmo: 17.3 Hd+: N173O6-L01</t>
  </si>
  <si>
    <t>Samsung: Ssd Sata 256Gb 1.8"- Mmdpe56G8Dxp-0Vbh1</t>
  </si>
  <si>
    <t>Samsung: 2048Mb: Ddr2 800Mhz (Pc6400): M470T5663Qz3-Cf7</t>
  </si>
  <si>
    <t>Stl/Sony: 95Whr</t>
  </si>
  <si>
    <t>Panasonic: Pata Odd Dvd- Sm- 12.7Mm-Std:Uj-210S</t>
  </si>
  <si>
    <t>Ur</t>
  </si>
  <si>
    <t>Cmo: 17.3 Hd+: N173O6-L02</t>
  </si>
  <si>
    <t>Samsung: Ssd Sata 64Gb: 2.5": Mccoe64G5Mpp-0Vah1</t>
  </si>
  <si>
    <t>Samsung: 2048Mb: Ddr2 800Mhz (Pc6400): M470T5663Eh3-Cf7</t>
  </si>
  <si>
    <t>Stl/Sdi: 95Whr</t>
  </si>
  <si>
    <t>Panasonic: Pata Odd Dvd-Rom - 9.5Mm - Std:Ujda775Hp3-A</t>
  </si>
  <si>
    <t>Yu</t>
  </si>
  <si>
    <t>Cmo: 8.9 Wxga: N089A1-L01</t>
  </si>
  <si>
    <t>Seagate: Sata 120Gb: 7200Rpm: St9120823As</t>
  </si>
  <si>
    <t>Samsung: 4096Mb: Ddr2 800Mhz (Pc6400): M470T5267Az3-Cf7</t>
  </si>
  <si>
    <t>Via: C7-M: 1Ghz</t>
  </si>
  <si>
    <t>Dynapack: 41Whr: 4 Cell</t>
  </si>
  <si>
    <t>Panasonic: Sata Odd Dvd - Sm - 7Mm - Std: Uj-844S</t>
  </si>
  <si>
    <t>Cpt: 13.3 Hd: Claa133Wa01</t>
  </si>
  <si>
    <t>Seagate: Sata 160Gb: 7200Rpm: St9160411As</t>
  </si>
  <si>
    <t>Samsung: 512Mb: Ddr2 667Mhz (Pc5300): M470T6464Qz3-Ce6</t>
  </si>
  <si>
    <t>Amd: Caspian: 2.0Ghz</t>
  </si>
  <si>
    <t>Sony: 41Whr: 4 Cell</t>
  </si>
  <si>
    <t>Panasonic: Sata Odd Dvd - Sm - 7Mm - Std: Uj-844S 1.00</t>
  </si>
  <si>
    <t>Cpt: 13.3 Hd: Claa133Wa01A</t>
  </si>
  <si>
    <t>Seagate: Sata 160Gb: 7200Rpm: St9160412As</t>
  </si>
  <si>
    <t>Samsung: 512Mb: Ddr2 667Mhz (Pc5300): M470T6554Ez3-Ce6</t>
  </si>
  <si>
    <t>Intel: Celeron Ulv 723: 1.2Ghz</t>
  </si>
  <si>
    <t>Philips: Pata Odd Dvd Combo 24X:Scb5265</t>
  </si>
  <si>
    <t>Esata Hdd</t>
  </si>
  <si>
    <t>Dupont: 12.1 Wxga; Ag; Ledbl; Wva; Outdoor Viewing; Digitizer Compatible: Tbd</t>
  </si>
  <si>
    <t>Seagate: Sata 160Gb: 7200Rpm: St9160823As</t>
  </si>
  <si>
    <t>Intel: Sp9300: 2.26Ghz</t>
  </si>
  <si>
    <t>Philips: Pata Odd Dvd Sm - Dl - 4X Std:Sdvd8821-H</t>
  </si>
  <si>
    <t>Samsung: Sata 160Gb - 1.8" 5400 Rpm- Hs16Vjf</t>
  </si>
  <si>
    <t>Intel: Su2300: 1.2Ghz</t>
  </si>
  <si>
    <t>Pioneer: Pata Odd Dvd Sm - Dl - 4X Std.:Dvr-K17La</t>
  </si>
  <si>
    <t>Lpl: 10.1 Sd Ag: Lp101Ws1</t>
  </si>
  <si>
    <t>Seagate: Sata 200Gb: 7200Rpm: St9200420As</t>
  </si>
  <si>
    <t>Plds: Sata Odd Dvd Sm Dl Ls - 12.7Mm: Ds-8A2L</t>
  </si>
  <si>
    <t>Lpl: 13.3 Hd: Lp133Wh2</t>
  </si>
  <si>
    <t>Seagate: Sata 250Gb: 7200Rpm: St9250410As</t>
  </si>
  <si>
    <t>Teac: Pata Odd Dvd 8X: Dv-28E-N59</t>
  </si>
  <si>
    <t>Seagate: Sata 250Gb: 7200Rpm: St9250421As</t>
  </si>
  <si>
    <t>Teac: Pata Odd Dvd Combo 24X:Dw-224E-C59</t>
  </si>
  <si>
    <t>Lpl: 14.1 Wxga Ag Ledbl: Lp141Wx5</t>
  </si>
  <si>
    <t>Seagate: Sata 320Gb: 7200Rpm: St9320421As</t>
  </si>
  <si>
    <t>Tsst: Pata Odd Dvd Combo 24X:Ts-L462D Hpmh</t>
  </si>
  <si>
    <t>Lpl: 14.1 Wxga Ag: Lp141Wx3</t>
  </si>
  <si>
    <t>Seagate: Sata 320Gb: 7200Rpm: St9320423As</t>
  </si>
  <si>
    <t>Tsst: Pata Odd Dvd Combo 24X:Ts-L462D/Hpsh</t>
  </si>
  <si>
    <t>Lpl: 14.1 Wxga Bv: Lp141Wx3</t>
  </si>
  <si>
    <t>Seagate: Sata 500Gb: 7200Rpm: St9500420As</t>
  </si>
  <si>
    <t>Tsst: Pata Odd Dvd Sm - Dl - 4X Std.:Ts-L632D</t>
  </si>
  <si>
    <t>Lpl: 15.4 Wsxga+ Ag Wva: Lp154We2</t>
  </si>
  <si>
    <t>Seagate: Sata 80Gb: 7200Rpm: St980813As</t>
  </si>
  <si>
    <t>Tsst: Pata Odd Dvd Sm - Dl - 4X Std:Ts-L632M</t>
  </si>
  <si>
    <t>Lpl: 15.4 Wuxga Ag Wva: Lp154Wu1</t>
  </si>
  <si>
    <t>Toshiba: Sata 120Gb: 5400Rpm: Mk1246Gsx</t>
  </si>
  <si>
    <t>Tsst: Pata Odd Dvd Sm Dl Ls - 4X Std.:Ts-L632M</t>
  </si>
  <si>
    <t>Lpl: 15.4 Wxga Ag: Lp154Wx4</t>
  </si>
  <si>
    <t>Toshiba: Sata 120Gb: 7200Rpm: Mk1249Gsy</t>
  </si>
  <si>
    <t>Tsst: Sata Odd Dvd Sm Dl Ls - 12.7Mm: Ts-L633L</t>
  </si>
  <si>
    <t>Lpl: 15.4 Wxga Bv: Lp154Wx4</t>
  </si>
  <si>
    <t>Toshiba: Sata 160Gb: 5400Rpm: Mk1646Gsx</t>
  </si>
  <si>
    <t>Tsst: Sata Odd Dvd Sm Dl Ls - 12.7Mm: Ts-L633L A</t>
  </si>
  <si>
    <t>Lpl: 15.6 Fhd: Lp156Wf1</t>
  </si>
  <si>
    <t>Toshiba: Sata 160Gb: 5400Rpm: Mk1652Gsx</t>
  </si>
  <si>
    <t>Tsst: Sata Odd Dvd Sm Dl Ls - 12.7Mm: Ts-L633L B</t>
  </si>
  <si>
    <t>Toshiba: Sata 160Gb: 7200Rpm: Mk1649Gsy</t>
  </si>
  <si>
    <t>Tsst: Sata Odd Dvd Sm Dl Ls - 12.7Mm: Ts-L633M</t>
  </si>
  <si>
    <t>Toshiba: Sata 160Gb - 1.8" 5400 Rpm- Mk1629Gsg</t>
  </si>
  <si>
    <t>Toshiba: Sata 200Gb: 7200Rpm: Mk2049Gsy</t>
  </si>
  <si>
    <t>Lpl: 17.0 Wsxga+ Ag Wva: Lp171We3</t>
  </si>
  <si>
    <t>Toshiba: Sata 250Gb - 1.8" 5400 Rpm- Mk2529Gsg</t>
  </si>
  <si>
    <t>Lpl: 17.0 Wsxga+ Bv Wva: Lp171We3</t>
  </si>
  <si>
    <t>Toshiba: Sata 250Gb: 5400Rpm: Mk2546Gsx</t>
  </si>
  <si>
    <t>Lpl: 17.0 Wuxga Ag Wva: Lp171Wu3</t>
  </si>
  <si>
    <t>Toshiba: Sata 250Gb: 5400Rpm: Mk2552Gsx</t>
  </si>
  <si>
    <t>Lpl: 17.0 Wxga+ Ag: Lp171Wp4</t>
  </si>
  <si>
    <t>Toshiba: Sata 500Gb: 5400Rpm: Mk5055Gsx</t>
  </si>
  <si>
    <t>Lpl: 17.0 Wxga+ Bv: Lp171Wp4</t>
  </si>
  <si>
    <t>Western Digital: Sata 160Gb: 5400Rpm: Wd1600Bevt-60Zct0</t>
  </si>
  <si>
    <t>Lpl: 17.3 Hd+: Lp173Wd1</t>
  </si>
  <si>
    <t>Western Digital: Sata 160Gb: 5400Rpm: Wd1600Bevt-60Zct1</t>
  </si>
  <si>
    <t>Western Digital: Sata 160Gb: 7200Rpm: Wd1600Bekt-60F3T0</t>
  </si>
  <si>
    <t>Sec: 10.1 Sd Ag: Ltn101Xt01-001</t>
  </si>
  <si>
    <t>Western Digital: Sata 250Gb: 5400Rpm: Wd2500Bevt-60Zct1</t>
  </si>
  <si>
    <t>Sec:12.1 Wxga Ag Led Uwva 45%Cg 200Nits Edp Digcompatible: Ltn121Ap05</t>
  </si>
  <si>
    <t>Western Digital: Sata 250Gb: 7200Rpm: Wd2500Bekt-60F3T0</t>
  </si>
  <si>
    <t>Sec: 12.1 Wxga Ag Ledbl Panel: Ltn121W3-L01</t>
  </si>
  <si>
    <t>Western Digital: Sata 320Gb: 5400Rpm: Wd3200Bevt-60Zct1</t>
  </si>
  <si>
    <t>Sec: 12.1 Wxga; Ag; Ledbl; Wva; Digitizer Compatible: Ltn121W4-L01</t>
  </si>
  <si>
    <t>Western Digital: Sata 500Gb: 5400Rpm: Wd5000Bevt-60Zaz0</t>
  </si>
  <si>
    <t>Sec: 14.0 Hd: Ltn140At03</t>
  </si>
  <si>
    <t>Sec: 14.1 Wxga Ag Ledbl: Ltn141At06</t>
  </si>
  <si>
    <t>Sec: 14.1 Wxga Ag: Ltn141At02</t>
  </si>
  <si>
    <t>Sec: 14.1 Wxga Bv: Ltn141At03</t>
  </si>
  <si>
    <t>Sec: 14.1 Wxga+ Ag: Ltn141Bt06</t>
  </si>
  <si>
    <t>Sec: 14.1 Wxga+ Ag: Ltn141Wd-L04</t>
  </si>
  <si>
    <t>Sec: 15.4 Wsxga+ Ag Wva: Ltn154Mt02</t>
  </si>
  <si>
    <t>Sec: 15.4 Wuxga Ag Wva: Ltn154Ct01</t>
  </si>
  <si>
    <t>Sec: 15.4 Wxga Ag: Ltn154At07</t>
  </si>
  <si>
    <t>Sec: 15.4 Wxga Ag: Ltn154X3-L01</t>
  </si>
  <si>
    <t>Sec: 15.4 Wxga Bv: Ltn154At07</t>
  </si>
  <si>
    <t>Sec: 15.4 Wxga Bv: Ltn154X3-L01</t>
  </si>
  <si>
    <t>Sec: 15.6 Hd: Ltn156At03</t>
  </si>
  <si>
    <t>Sec: 17.0 Wsxga+ Ag Wva: Ltn170Mt02</t>
  </si>
  <si>
    <t>Sec: 17.0 Wsxga+ Ag Wva: Ltn170Wp-L02</t>
  </si>
  <si>
    <t>Sec: 17.0 Wsxga+ Bv Wva: Ltn170Mt02</t>
  </si>
  <si>
    <t>Sec: 17.0 Wsxga+ Bv Wva: Ltn170Wp-L02</t>
  </si>
  <si>
    <t>Sec: 17.0 Wuxga Ag Wva: Ltn170Ct02</t>
  </si>
  <si>
    <t>Sec: 17.0 Wxga+ Ag: Ltn170Bt08</t>
  </si>
  <si>
    <t>Sec: 17.0 Wxga+ Bv: Ltn170Bt08</t>
  </si>
  <si>
    <t>Sec: 17.0 Wxga+ Bv: Ltn170X2-L02</t>
  </si>
  <si>
    <t>Tmd: 12.1 Wxga Ag Ledbl Panel: Ltd121Ew7V</t>
  </si>
  <si>
    <t>Primax</t>
  </si>
  <si>
    <t>Foxlink</t>
  </si>
  <si>
    <t>Diesel 1.0</t>
  </si>
  <si>
    <t>Chile</t>
  </si>
  <si>
    <t>Euro-A2</t>
  </si>
  <si>
    <t>Festina 1.0</t>
  </si>
  <si>
    <t>Euro-A5</t>
  </si>
  <si>
    <t>Fossil 2.0</t>
  </si>
  <si>
    <t>Broadcom: 802.11 B/G/N (Shiraz)</t>
  </si>
  <si>
    <t>Gucci 2.0</t>
  </si>
  <si>
    <t>Neutron</t>
  </si>
  <si>
    <t>Prano 1.0</t>
  </si>
  <si>
    <t>Serbia</t>
  </si>
  <si>
    <t>Dynapack: 62Whr: 6 Cell</t>
  </si>
  <si>
    <t>Timex 1.0</t>
  </si>
  <si>
    <t>Valima</t>
  </si>
  <si>
    <t>Villemont</t>
  </si>
  <si>
    <t>Annikaan 1.0</t>
  </si>
  <si>
    <t>Bixbyan 2.0</t>
  </si>
  <si>
    <t>Hp Usb Odd Amo</t>
  </si>
  <si>
    <t>La Sp</t>
  </si>
  <si>
    <t>Ati: M5800</t>
  </si>
  <si>
    <t>Hgst: Sata 250Gb: 7200Rpm: Hts725025A9A364</t>
  </si>
  <si>
    <t>Hgst: Sata 500Gb: 7200Rpm: Hts725050A9A364</t>
  </si>
  <si>
    <t>Intel: Ssd Sata 80Gb: 2.5"</t>
  </si>
  <si>
    <t>Toshiba: Sata 250Gb: 5400Rpm: Mk2556Gsy</t>
  </si>
  <si>
    <t>Toshiba: Sata 320Gb: 7200Rpm: Mk3256Gsy</t>
  </si>
  <si>
    <t>Toshiba: Sata 250Gb: 7200Rpm: Mk2556Gsy</t>
  </si>
  <si>
    <t>Auo: 13.3 Bv: B133Xw01</t>
  </si>
  <si>
    <t>Cpt: 13.3 Bv: Claa133Wa01A</t>
  </si>
  <si>
    <t>Linux (Fedora)</t>
  </si>
  <si>
    <t>EFI32</t>
  </si>
  <si>
    <t>EFI Shell (32)</t>
  </si>
  <si>
    <t>EFI64</t>
  </si>
  <si>
    <t>EFI Shell (64)</t>
  </si>
  <si>
    <t>W8HB</t>
  </si>
  <si>
    <t>Win8 (32)</t>
  </si>
  <si>
    <t>W8HP</t>
  </si>
  <si>
    <t>Win8 Home Premium (32)</t>
  </si>
  <si>
    <t>W8P</t>
  </si>
  <si>
    <t>Win8 Pro (32)</t>
  </si>
  <si>
    <t>W8U</t>
  </si>
  <si>
    <t>Win8 Ultimate (32)</t>
  </si>
  <si>
    <t>W8E</t>
  </si>
  <si>
    <t>Win8 Enterprise (32)</t>
  </si>
  <si>
    <t>W8HB64</t>
  </si>
  <si>
    <t>Win8 (64)</t>
  </si>
  <si>
    <t>W8HP64</t>
  </si>
  <si>
    <t>Win8 Home Premium (64)</t>
  </si>
  <si>
    <t>W8P64</t>
  </si>
  <si>
    <t>Win8 Pro (64)</t>
  </si>
  <si>
    <t>W8U64</t>
  </si>
  <si>
    <t>Win8 Ultimate (64)</t>
  </si>
  <si>
    <t>W8E64</t>
  </si>
  <si>
    <t>Win8 Enterprise (64)</t>
  </si>
  <si>
    <t>W8S</t>
  </si>
  <si>
    <t>Win8 Starter (32)</t>
  </si>
  <si>
    <t>W8RT</t>
  </si>
  <si>
    <t>Win8 RT</t>
  </si>
  <si>
    <t>DB-0</t>
  </si>
  <si>
    <t>Functional Test</t>
  </si>
  <si>
    <t>Sed Encryption Status</t>
  </si>
  <si>
    <t>Bt+</t>
  </si>
  <si>
    <t>1394+</t>
  </si>
  <si>
    <t>Usb Devices+</t>
  </si>
  <si>
    <t>Expresscard+</t>
  </si>
  <si>
    <t>Flash Media+</t>
  </si>
  <si>
    <t>Switchable Graphic Mode</t>
  </si>
  <si>
    <t>Multi Display Configuration</t>
  </si>
  <si>
    <t>Flash Cache</t>
  </si>
  <si>
    <t>Deep Sleep</t>
  </si>
  <si>
    <t>Arcsoft</t>
  </si>
  <si>
    <t>Acronis True Image Home Backup And Recovery</t>
  </si>
  <si>
    <t>Dirt 2</t>
  </si>
  <si>
    <t>Dynamic</t>
  </si>
  <si>
    <t>Auto</t>
  </si>
  <si>
    <t>Africa-French/Arabic</t>
  </si>
  <si>
    <t>1394 Camcorder</t>
  </si>
  <si>
    <t>Bt Gps Navigation</t>
  </si>
  <si>
    <t>Iphone</t>
  </si>
  <si>
    <t>Exrpesscard: Bluetooth Mouse</t>
  </si>
  <si>
    <t>Dongle: Dp To Dvi Dongle</t>
  </si>
  <si>
    <t>Adobe Photoshop Elements 8</t>
  </si>
  <si>
    <t>Atheros: 802.11 A/G/N (Miami)</t>
  </si>
  <si>
    <t>Off: Atheros: 802.11 A/G/N (Miami)</t>
  </si>
  <si>
    <t>Broadcom: Soft Breeze</t>
  </si>
  <si>
    <t>M</t>
  </si>
  <si>
    <t>Africa-French</t>
  </si>
  <si>
    <t>Bt Handheld</t>
  </si>
  <si>
    <t>Laptop Peripheral Kit</t>
  </si>
  <si>
    <t>Expresscard: 1394 Host Adapter</t>
  </si>
  <si>
    <t>Dongle: Dp To Hdmi Dongle</t>
  </si>
  <si>
    <t>Aerosmith 1.0</t>
  </si>
  <si>
    <t>Adobe Reader</t>
  </si>
  <si>
    <t>Atheros: 802.11 B/G/N (Marilyn)</t>
  </si>
  <si>
    <t>Off: Atheros: 802.11 B/G/N (Marilyn)</t>
  </si>
  <si>
    <t>Broadcom: Soft Sailing</t>
  </si>
  <si>
    <t>Africa-English</t>
  </si>
  <si>
    <t>Bluetooth Gps Navigation</t>
  </si>
  <si>
    <t>Bt Headphones</t>
  </si>
  <si>
    <t>Printer: Hp Deskjet Dxxx Printer</t>
  </si>
  <si>
    <t>Expresscard: Nic</t>
  </si>
  <si>
    <t>Dongle: Dp To Dual-Link Dvi Dongle</t>
  </si>
  <si>
    <t>Windows Media Center</t>
  </si>
  <si>
    <t>Raid 5</t>
  </si>
  <si>
    <t>Anti-Virus:  Nav 2010</t>
  </si>
  <si>
    <t>Hynix: 128Mx16</t>
  </si>
  <si>
    <t>Atheros: 802.11 B/G/N (Medoc)</t>
  </si>
  <si>
    <t>Off: Atheros: 802.11 B/G/N (Medoc)</t>
  </si>
  <si>
    <t>Bluetooth Handheld</t>
  </si>
  <si>
    <t>Bt Headset</t>
  </si>
  <si>
    <t>1394 Host Adapter</t>
  </si>
  <si>
    <t>Expresscard: Mouse</t>
  </si>
  <si>
    <t>Microsd 2Gb</t>
  </si>
  <si>
    <t>Dongle: Dp To Vga Dongle</t>
  </si>
  <si>
    <t>Auo: 12.1 Wxga Ag Ledbl Panel: B121Ew09 V.4</t>
  </si>
  <si>
    <t>Pumba 1.0</t>
  </si>
  <si>
    <t>Bt Keyboard</t>
  </si>
  <si>
    <t>Printer: Hp Photosmart Axxx Home Photo Center</t>
  </si>
  <si>
    <t>Expresscard: Esata Controller</t>
  </si>
  <si>
    <t>Mini-Sd 2Gb</t>
  </si>
  <si>
    <t>Dongle: Dual Link Dvi To Vga Dongle</t>
  </si>
  <si>
    <t>Aladdin 1.0</t>
  </si>
  <si>
    <t>W.L.K. 1.5</t>
  </si>
  <si>
    <t>Bluetooth Headset</t>
  </si>
  <si>
    <t>Bt Keyboard And Mouse</t>
  </si>
  <si>
    <t>Printer: Hp Photosmart Cxxx All-In-One Printer, Scanner, Copier</t>
  </si>
  <si>
    <t>Expresscard: Smartcard Reader</t>
  </si>
  <si>
    <t>Sd 2Gb</t>
  </si>
  <si>
    <t>Dongle: Dvi To Vga Dongle</t>
  </si>
  <si>
    <t>Coreldraw 10</t>
  </si>
  <si>
    <t>Off: Broadcom: 802.11 A/B/G (Bevo)</t>
  </si>
  <si>
    <t>Mufasa 1.0</t>
  </si>
  <si>
    <t>Bt Mouse</t>
  </si>
  <si>
    <t>Printer: Hp Photosmart Cxxxx All-In-One Printer, Fax, Scanner, Copier</t>
  </si>
  <si>
    <t>Microsdhc Class 4 4Gb</t>
  </si>
  <si>
    <t>Office 2010 Personal</t>
  </si>
  <si>
    <t>Dragon Naturally Speaking 10</t>
  </si>
  <si>
    <t>Hynix: 64Mx32</t>
  </si>
  <si>
    <t>Bt Usb 2.0</t>
  </si>
  <si>
    <t>Printer: Hp Photosmart Cxxxx All-In-One Printer, Scanner, Copier</t>
  </si>
  <si>
    <t>Microsdhc Class 4 8Gb</t>
  </si>
  <si>
    <t>Astro 1.0</t>
  </si>
  <si>
    <t>Office 2010 Professional</t>
  </si>
  <si>
    <t>Norton Ghost 15</t>
  </si>
  <si>
    <t>Micron: 64Mx16</t>
  </si>
  <si>
    <t>Online Video</t>
  </si>
  <si>
    <t>Digital Camera - Canon</t>
  </si>
  <si>
    <t>Printer: Hp Photosmart Pro Bxxxx Photo Printer</t>
  </si>
  <si>
    <t>Microsdhc Class 2 8Gb</t>
  </si>
  <si>
    <t>Bandit 1.0</t>
  </si>
  <si>
    <t>Office 2010 Starter</t>
  </si>
  <si>
    <t>Norton Internet Security 2010</t>
  </si>
  <si>
    <t>Micron: 128Mx16</t>
  </si>
  <si>
    <t>Off: Broadcom: 802.11 A/B/G/N (Redstorm)</t>
  </si>
  <si>
    <t>Scar</t>
  </si>
  <si>
    <t>Microsdhc Class 2 16Gb</t>
  </si>
  <si>
    <t>Intel: 82579-V (Lewisville)</t>
  </si>
  <si>
    <t>Off: Broadcom: 802.11 B/G (Barolo)</t>
  </si>
  <si>
    <t>Win8 Professional (64)</t>
  </si>
  <si>
    <t>Usb 2.0 Disk-On-Key</t>
  </si>
  <si>
    <t>Microsdhc Class 2 32Gb</t>
  </si>
  <si>
    <t>Broadcom: 802.11 B/G (Demi2)</t>
  </si>
  <si>
    <t>Off: Broadcom: 802.11 B/G (Demi2)</t>
  </si>
  <si>
    <t>Usb 3.0 Disk-On-Key</t>
  </si>
  <si>
    <t>Minisdhc Class 4 4Gb</t>
  </si>
  <si>
    <t>Butternut6U 1.0</t>
  </si>
  <si>
    <t>Quickbooks Pro 2010</t>
  </si>
  <si>
    <t>Off: Broadcom: 802.11 B/G (Hoyas)</t>
  </si>
  <si>
    <t>Stones</t>
  </si>
  <si>
    <t>Usb 2.0 External Hdd</t>
  </si>
  <si>
    <t>Minisdhc 4Gb</t>
  </si>
  <si>
    <t>Calvin 1.0</t>
  </si>
  <si>
    <t>Quicken Starter 2010</t>
  </si>
  <si>
    <t>Off: Broadcom: 802.11 B/G (Sangria)</t>
  </si>
  <si>
    <t>Win8 Professional</t>
  </si>
  <si>
    <t>Usb 3.0 External Hdd</t>
  </si>
  <si>
    <t>Sdhc Class 2 4Gb</t>
  </si>
  <si>
    <t>Video Authoring Software:  Cyberlink Powerdirector 8</t>
  </si>
  <si>
    <t>Off: Broadcom: 802.11 B/G/N (Sangria)</t>
  </si>
  <si>
    <t>Auo: 14.0 Hd Ag: B140Xw01 V9</t>
  </si>
  <si>
    <t>Dynapack/Lgc 2.8Ah: 28Whr: 3 Cell</t>
  </si>
  <si>
    <t>Comm - Slate</t>
  </si>
  <si>
    <t>Sdhc Class 4 4Gb</t>
  </si>
  <si>
    <t>Casper 1.0</t>
  </si>
  <si>
    <t>Video Authoring Software: Sony Vegas Movie Studio</t>
  </si>
  <si>
    <t>Sierra: Evdo: (Warthog)</t>
  </si>
  <si>
    <t>Off: Broadcom: 802.11 B/G/N (Shiraz)</t>
  </si>
  <si>
    <t>Auo: 14.0 Hd Bv: B140Xw01 V8</t>
  </si>
  <si>
    <t>Dynapack/Sdi 2.8Ah: 28Whr: 3 Cell</t>
  </si>
  <si>
    <t>Win8 Enterprise</t>
  </si>
  <si>
    <t>All Supported Models</t>
  </si>
  <si>
    <t>Sdhc Class 6 4Gb</t>
  </si>
  <si>
    <t>Cryengine 2 Games:Crysis</t>
  </si>
  <si>
    <t>Auo: 14.0 Hd+ Ag: B140Rw01 V1</t>
  </si>
  <si>
    <t>Sdhc Class 2 8Gb</t>
  </si>
  <si>
    <t>Cryengine 2 Games:Crysis Warhead</t>
  </si>
  <si>
    <t>Samsung: 128Mx16</t>
  </si>
  <si>
    <t>Auo: 14.0 Hd+ Ag: B140Rw02 V2</t>
  </si>
  <si>
    <t>Sdhc Class 4 8Gb</t>
  </si>
  <si>
    <t>Clash 1.0</t>
  </si>
  <si>
    <t>Direct X 10/11 Games:Aliens Vs. Predator</t>
  </si>
  <si>
    <t>Off: Intel: 802.11 A/B/G (Golan)</t>
  </si>
  <si>
    <t>Flash Media Card</t>
  </si>
  <si>
    <t>Sdhc Class 6 8Gb</t>
  </si>
  <si>
    <t>Direct X 10/11 Games:Battleforge</t>
  </si>
  <si>
    <t>Off: Intel: 802.11 A/B/G (Kedron)</t>
  </si>
  <si>
    <t>Headphones: Koss Sb45 Multi-Media Stereophone</t>
  </si>
  <si>
    <t>Usb Keyboard/Mouse Bundle</t>
  </si>
  <si>
    <t>Sdhc Class 4 16Gb</t>
  </si>
  <si>
    <t>17" Crt</t>
  </si>
  <si>
    <t>Cure 1.0</t>
  </si>
  <si>
    <t>Direct X 10/11 Games:Battlefield:  Bad Compay 2</t>
  </si>
  <si>
    <t>Intel: 802.11 A/B/G (Kedron)</t>
  </si>
  <si>
    <t>Dynapack/Sdi 2.8Ah: 55Whr: 6 Cell</t>
  </si>
  <si>
    <t>Headphones: Tritton Tri-Ua512 Pc Gaming Headset</t>
  </si>
  <si>
    <t>Sdhc Class 6 16Gb</t>
  </si>
  <si>
    <t>19" Crt</t>
  </si>
  <si>
    <t>Direct X 10/11 Games:Dirt 2</t>
  </si>
  <si>
    <t>Samsung: 64Mx32</t>
  </si>
  <si>
    <t>Off: Intel: 802.11 A/B/G/N (Kedron)</t>
  </si>
  <si>
    <t>Headphones: Creative Fatal1Ty Gaming Headset</t>
  </si>
  <si>
    <t>Sdhc Class 10 16Gb</t>
  </si>
  <si>
    <t>17" Lcd</t>
  </si>
  <si>
    <t>Direct X 10/11 Games:Metro 2033</t>
  </si>
  <si>
    <t>Intel: 802.11 A/B/G/N (Kedron)</t>
  </si>
  <si>
    <t>Dynapack/Lgchem 2.8Ah: 55Whr: 6 Cell</t>
  </si>
  <si>
    <t>French Arabic</t>
  </si>
  <si>
    <t>Hi-Definition Camcorder (Mini-Dv)</t>
  </si>
  <si>
    <t>Usb Keyboard:  Internet Keyboard With Multimedia Keys</t>
  </si>
  <si>
    <t>Sdhc Class 4 32Gb</t>
  </si>
  <si>
    <t>18.5" Lcd</t>
  </si>
  <si>
    <t>Direct X 10/11 Games:S.T.A.L.K.E.R.:  Call Of Pripyat</t>
  </si>
  <si>
    <t>Dynapack/San 2.8Ah: 55Whr: 6 Cell</t>
  </si>
  <si>
    <t>Sdhc Class 10 32Gb</t>
  </si>
  <si>
    <t>19" Lcd</t>
  </si>
  <si>
    <t>Gamebryo: Fallout 3</t>
  </si>
  <si>
    <t>Kvm Switch Box: Aten Kvm Switch Type Cs-521</t>
  </si>
  <si>
    <t>Sdxc Class 4 64Gb</t>
  </si>
  <si>
    <t>20" Lcd</t>
  </si>
  <si>
    <t>Gamebryo:Divinity 2: Ego Draconis</t>
  </si>
  <si>
    <t>Kvm Switch Box: Aten Masterview Usb Kvm</t>
  </si>
  <si>
    <t>Usb Keyboard: Ergonomic Keyboard</t>
  </si>
  <si>
    <t>Sdxc Class 10 48Gb</t>
  </si>
  <si>
    <t>21.5" Lcd</t>
  </si>
  <si>
    <t>Gamebryo:Fallout: New Vegas</t>
  </si>
  <si>
    <t>Intel Huron River</t>
  </si>
  <si>
    <t>Kvm Switch Box: Avocent Kvm</t>
  </si>
  <si>
    <t>Usb Keyboard: Kengsinton Comfort Type Usb Keyboard</t>
  </si>
  <si>
    <t>Mmc 2Gb</t>
  </si>
  <si>
    <t>22" Lcd</t>
  </si>
  <si>
    <t>Felix 1.0</t>
  </si>
  <si>
    <t>Unreal 2/3 Engine Games:Tom Clancy’S Splinter Cell: Conviction</t>
  </si>
  <si>
    <t>Intel:Capella Uma</t>
  </si>
  <si>
    <t>Kvm Switch Box: Belkin Economy 2-Port Usb Kvm</t>
  </si>
  <si>
    <t>Usb Keyboard: Wireless Mouse And Keyboard Kit</t>
  </si>
  <si>
    <t>Mmc-Mobile 2Gb</t>
  </si>
  <si>
    <t>23" Lcd</t>
  </si>
  <si>
    <t>Unreal 2/3 Engine Games:Bioshock 2</t>
  </si>
  <si>
    <t>Off: Intel: 802.11 B/G (Golan)</t>
  </si>
  <si>
    <t>Auo: 15.6 Hd Ag: B156Xw02 V3</t>
  </si>
  <si>
    <t>Intel:Cedar Trail Uma</t>
  </si>
  <si>
    <t>Dynapack/Sdi 2.8Ah: 62Whr: 6 Cell</t>
  </si>
  <si>
    <t>Kvm Switch Box: Belkin Omniview Soho Kvm Switches</t>
  </si>
  <si>
    <t>Mmc-Plus 2Gb</t>
  </si>
  <si>
    <t>24" Lcd</t>
  </si>
  <si>
    <t>Foreigner 1.0</t>
  </si>
  <si>
    <t>Unreal 2/3 Engine Games:50 Cent: Blood On The Sand</t>
  </si>
  <si>
    <t>Off: Intel: 802.11 B/G (Condor Peak)</t>
  </si>
  <si>
    <t>Auo: 15.6 Hd Bv: B156Xw02 V2</t>
  </si>
  <si>
    <t>Intel:Chief River Uma</t>
  </si>
  <si>
    <t>Hgst: Sata 160Gb: 7200Rpm: Hts725016A9A364</t>
  </si>
  <si>
    <t>Dynapack/Lgchem 2.8Ah: 62Whr: 6 Cell</t>
  </si>
  <si>
    <t>Kvm Switch Box: Cybex Personal Commander Ii Kvm Switchbox</t>
  </si>
  <si>
    <t>Usb Mic/Headphone:  Headset 250 W/ Microphone</t>
  </si>
  <si>
    <t>Mmc-Plus 4Gb</t>
  </si>
  <si>
    <t>25" Lcd</t>
  </si>
  <si>
    <t>Unreal 2/3 Engine Games:Aliens: Colonial Marines</t>
  </si>
  <si>
    <t>Intel: 802.11 B/G (Condor Peak)</t>
  </si>
  <si>
    <t>Intel:Huron River Uma</t>
  </si>
  <si>
    <t>Kvm Switch Box: Digitus 2-Port Usb Kvm</t>
  </si>
  <si>
    <t>Usb Mic/Headphone:  Headset 350 W/ Microphone</t>
  </si>
  <si>
    <t>Memory Stick 128Mb</t>
  </si>
  <si>
    <t>27" Lcd</t>
  </si>
  <si>
    <t>Unreal 2/3 Engine Games:Alpha Protocol</t>
  </si>
  <si>
    <t>Intel:Pine Trail Uma</t>
  </si>
  <si>
    <t>Usb Mic/Headset:  Headset Lx-3000 W/Microphone</t>
  </si>
  <si>
    <t>Memory Stick 256Mb</t>
  </si>
  <si>
    <t>30" Lcd</t>
  </si>
  <si>
    <t>Unreal 2/3 Engine Games:America'S Army 3.0</t>
  </si>
  <si>
    <t>Usb Mini Speakers</t>
  </si>
  <si>
    <t>Memory Stick 64Mb</t>
  </si>
  <si>
    <t>22" Displayport Lcd</t>
  </si>
  <si>
    <t>Unreal 2/3 Engine Games:Mass Effect 2</t>
  </si>
  <si>
    <t>Memory Stick Pro 1Gb</t>
  </si>
  <si>
    <t>24" Displayport Lcd</t>
  </si>
  <si>
    <t>Garbo6U 1.0</t>
  </si>
  <si>
    <t>Other High End Games: Call Of Duty Modern Warfare 2</t>
  </si>
  <si>
    <t>Dynapack/Sdi 2.8Ah: 93Whr: 9 Cell</t>
  </si>
  <si>
    <t>Usb Mouse:  3-Button Optical Mouse</t>
  </si>
  <si>
    <t>Memory Stick Pro 2Gb</t>
  </si>
  <si>
    <t>24" Dreamcolor Displayport Lcd</t>
  </si>
  <si>
    <t>Other High End Games:Fear 2: Project Origin</t>
  </si>
  <si>
    <t>Off: Ralink: 802.11 B/G/N (Ripple2)</t>
  </si>
  <si>
    <t>Dynapack/Lgchem 2.8Ah: 93Whr: 9 Cell</t>
  </si>
  <si>
    <t>Usb Mouse:  Logitech Anywhere Mouse Mx</t>
  </si>
  <si>
    <t>Memory Stick Pro 4Gb</t>
  </si>
  <si>
    <t>37" Hdmi Flat Panel Tv</t>
  </si>
  <si>
    <t>Other High End Games:Warhammer 40,000: Dawn Of War Ii</t>
  </si>
  <si>
    <t>Ralink: 802.11 B/G/N (Ripple2)</t>
  </si>
  <si>
    <t>Off: Ralink: 802.11 B/G/N (Ripple3)</t>
  </si>
  <si>
    <t>Media Card Reader</t>
  </si>
  <si>
    <t>Usb Mouse:  Logitech Cordless Optical Trackman</t>
  </si>
  <si>
    <t>Memory Stick Pro 8Gb</t>
  </si>
  <si>
    <t>37" Hdmi Lcd Tv</t>
  </si>
  <si>
    <t>Gucci 3.0</t>
  </si>
  <si>
    <t>Ralink: 802.11 B/G/N (Ripple3)</t>
  </si>
  <si>
    <t>Mic/Headphone:  Headset 250 W/ Microphone</t>
  </si>
  <si>
    <t>Usb Mouse:  Logitech Marathon Mouse M705</t>
  </si>
  <si>
    <t>Memory Stick Pro Duo 2Gb</t>
  </si>
  <si>
    <t>40" Hdmi Lcd Tv</t>
  </si>
  <si>
    <t>Mic/Headphone:  Headset 350 W/ Microphone</t>
  </si>
  <si>
    <t>Usb Mouse:  Logitech Mx 620 Cordless 2.4Ghz Wireless Laser Mouse</t>
  </si>
  <si>
    <t>Memory Stick Pro Duo 4Gb</t>
  </si>
  <si>
    <t>47" Hdmi Plasma Tv</t>
  </si>
  <si>
    <t>Mic/Headset:  Headset Lx-3000 W/Microphone</t>
  </si>
  <si>
    <t>Usb Mouse:  Logitech Performance Mouse Mx</t>
  </si>
  <si>
    <t>Memory Stick Pro Duo 8Gb</t>
  </si>
  <si>
    <t>Hdtv (Hdmi &amp; Dual Link Dvi Inputs)</t>
  </si>
  <si>
    <t>Heart 1.0</t>
  </si>
  <si>
    <t>Off: Realtek: 802.11 B/G/N (Thunderbird2)</t>
  </si>
  <si>
    <t>Cmi: 10.1 Wsvga Ag: N101Lge-L11</t>
  </si>
  <si>
    <t>Port Replicator</t>
  </si>
  <si>
    <t>Usb Mouse:  Logitech V220 Optical Mouse</t>
  </si>
  <si>
    <t>Memory Stick Pro Duo 16Gb</t>
  </si>
  <si>
    <t>Notebook Companion Projector</t>
  </si>
  <si>
    <t>Realtek: 802.11 B/G/N (Thunderbird2)</t>
  </si>
  <si>
    <t>Memory Stick Pro Duo 32Gb</t>
  </si>
  <si>
    <t>Hobbes 1.0</t>
  </si>
  <si>
    <t>Ps/2 Keyboard/Mouse Bundle</t>
  </si>
  <si>
    <t>Memory Stick Micro 2Gb</t>
  </si>
  <si>
    <t>Hgst: Sata 320Gb: 7200Rpm: Hts725032A9A364</t>
  </si>
  <si>
    <t>Sanyo: 2.55Ahr: 3 Cell</t>
  </si>
  <si>
    <t>Ps/2 Keybpard</t>
  </si>
  <si>
    <t>Memory Stick Micro 4Gb</t>
  </si>
  <si>
    <t>Ps/2 Mouse - 2Button</t>
  </si>
  <si>
    <t>Usb Mouse:  Wireless Optical Mouse</t>
  </si>
  <si>
    <t>Memory Stick Micro 8Gb</t>
  </si>
  <si>
    <t>Saudi Arabia</t>
  </si>
  <si>
    <t>Ps/2/Usb Keyboard</t>
  </si>
  <si>
    <t>Memory Stick Micro 16Gb</t>
  </si>
  <si>
    <t>Networkable Projector</t>
  </si>
  <si>
    <t>Serial Keyboard</t>
  </si>
  <si>
    <t>Jasper 1.0</t>
  </si>
  <si>
    <t>Journey 1.0</t>
  </si>
  <si>
    <t>Nviidia: N12E-Q1</t>
  </si>
  <si>
    <t>Nviidia: N12E-Q3</t>
  </si>
  <si>
    <t>Serial: Courier 56K V.92 Business Mdm (Through Serial Port On Dock)</t>
  </si>
  <si>
    <t>Usb Notebook Speakers</t>
  </si>
  <si>
    <t>Mighty 1.0</t>
  </si>
  <si>
    <t>Nviidia: N12E-Q5</t>
  </si>
  <si>
    <t>Hgst: Sata Sed 320Gb: 7200Rpm: Hts725032A9A365</t>
  </si>
  <si>
    <t>Serial: Ipaq H3870 (Through Serial Port On Dock)</t>
  </si>
  <si>
    <t>Miata 6U 2.0</t>
  </si>
  <si>
    <t>Nviidia: N12P-Q1</t>
  </si>
  <si>
    <t>Hgst: Sata Sed 500Gb: 7200Rpm: Hts727550A9E365</t>
  </si>
  <si>
    <t>Speakers:  Hp Mobile Audio Speakers</t>
  </si>
  <si>
    <t>Nviidia: N12P-Q3</t>
  </si>
  <si>
    <t>Speakers: Logitech Z 5500 Digital Speakers</t>
  </si>
  <si>
    <t>Nviidia: N14E-Q1</t>
  </si>
  <si>
    <t>Odie 1.0</t>
  </si>
  <si>
    <t>Nviidia: N14E-Q3</t>
  </si>
  <si>
    <t>Usb 2.0 Disk On Key</t>
  </si>
  <si>
    <t>Nviidia: N14E-Q5</t>
  </si>
  <si>
    <t>Usb 3.0 Disk On Key</t>
  </si>
  <si>
    <t>Olive 1.0</t>
  </si>
  <si>
    <t>Nviidia: N14P-Q1</t>
  </si>
  <si>
    <t>Simplo/Lgchem 2.8Ah: 55Whr: 6 Cell</t>
  </si>
  <si>
    <t>Usb Wireless Keyboard And Mouse</t>
  </si>
  <si>
    <t>Cmo: 14.0 Hd Ag: N140B6-L01</t>
  </si>
  <si>
    <t>Nviidia: N14P-Q3</t>
  </si>
  <si>
    <t>Cmo: 14.0 Hd Bv: N140B6-L02</t>
  </si>
  <si>
    <t>Outfield 1.0</t>
  </si>
  <si>
    <t>Pebbles 1.0</t>
  </si>
  <si>
    <t>Pixies 1.0</t>
  </si>
  <si>
    <t>Police 1.0</t>
  </si>
  <si>
    <t>Popeye 1.0</t>
  </si>
  <si>
    <t>Wireless Internet Photo Frame</t>
  </si>
  <si>
    <t>Ramones 1.0</t>
  </si>
  <si>
    <t>Richie 1.0</t>
  </si>
  <si>
    <t>Roadrunner 1.0</t>
  </si>
  <si>
    <t>Rocky 1.0</t>
  </si>
  <si>
    <t>Cmo: 15.6 Hd+ Ag: N156O6-L01</t>
  </si>
  <si>
    <t>Roger 1.0</t>
  </si>
  <si>
    <t>Roxette 1.0</t>
  </si>
  <si>
    <t>Simba 1.0</t>
  </si>
  <si>
    <t>Styx 1.0</t>
  </si>
  <si>
    <t>Cpt: 10.1 Wsvga Ag: Claa101Nc05</t>
  </si>
  <si>
    <t>Tarzan 1.0</t>
  </si>
  <si>
    <t>Tesla/ Toto 1.0</t>
  </si>
  <si>
    <t>Tigger 1.0</t>
  </si>
  <si>
    <t>Lpl: 12.1: Lp121Wx3</t>
  </si>
  <si>
    <t>Van Halen 1.0</t>
  </si>
  <si>
    <t>Velma 1.0</t>
  </si>
  <si>
    <t>Lpl: 14.0 Hd Ag: Lp140Wh1</t>
  </si>
  <si>
    <t>Venturi6U 1.0</t>
  </si>
  <si>
    <t>Lpl: 14.0 Hd Ag: Lp140Wh2</t>
  </si>
  <si>
    <t>Lpl: 14.0 Hd Ag: Lp140Wh4</t>
  </si>
  <si>
    <t>Lpl: 14.0 Hd Bv: Lp140Wh4</t>
  </si>
  <si>
    <t>Lpl: 14.0 Hd+ Ag: Lp140Wd1</t>
  </si>
  <si>
    <t>Lpl: 14.0 Hd+ Ag: Lp140Wd2</t>
  </si>
  <si>
    <t>Intel: Sandy Bridge Dual Core Celeron</t>
  </si>
  <si>
    <t>Lpl: 15.6 Hd Ag: Lp156Wh2</t>
  </si>
  <si>
    <t>Lpl: 15.6 Hd Ag: Lp156Wh4</t>
  </si>
  <si>
    <t>Lpl: 15.6 Hd Bv: Lp156Wh2</t>
  </si>
  <si>
    <t>Lpl: 15.6 Hd+ Ag: Lp156Wd1</t>
  </si>
  <si>
    <t>Sec: 10.1 Wsvga Ag: Ltn101Nt02</t>
  </si>
  <si>
    <t>Sec: 14.0 Hd Ag: Ltn140At07</t>
  </si>
  <si>
    <t>Western Digital: Sata 160Gb: 7200Rpm: Wd1600Bekt-60A25T1</t>
  </si>
  <si>
    <t>Sec: 14.0 Hd Bv: Ltn140At07</t>
  </si>
  <si>
    <t>Western Digital: Sata 160Gb: 7200Rpm: Wd1600Bekt-60V5T1</t>
  </si>
  <si>
    <t>Sec: 14.0 Hd Ag: Ltn140At20</t>
  </si>
  <si>
    <t>Sec: 14.0 Hd Ag: Ltn140At22</t>
  </si>
  <si>
    <t>Sec: 14.0 Hd Ag: Ltn140At26</t>
  </si>
  <si>
    <t>Sec: 14.0 Hd+ Ag: Ltn140Kt01</t>
  </si>
  <si>
    <t>Western Digital: Sata 250Gb: 7200Rpm: Wd2500Bekt-60A25T1</t>
  </si>
  <si>
    <t>Sec: 14.0 Hd+ Ag: Ltn140Kt03</t>
  </si>
  <si>
    <t>Western Digital: Sata 250Gb: 7200Rpm: Wd2500Bekt-60V5T1</t>
  </si>
  <si>
    <t>Western Digital: Sata 320Gb: 7200Rpm: Wd3200Bekt-60V5T1</t>
  </si>
  <si>
    <t>Sec: 15.6 Hd Bv: Ltn156At05</t>
  </si>
  <si>
    <t>3D Applications+</t>
  </si>
  <si>
    <t>Amd: Chelsea Xt Gl</t>
  </si>
  <si>
    <t>Amd: Amd V Danube V120 Sc: 2.2 Ghz</t>
  </si>
  <si>
    <t>Amd Barb</t>
  </si>
  <si>
    <t>Dvi + Dvi + Dp</t>
  </si>
  <si>
    <t>Auo: 10.1 Wsvga Ag: B101Aw03 V1</t>
  </si>
  <si>
    <t>Amd: Sabine Internal</t>
  </si>
  <si>
    <t>Adata: 1024Mb: Pc3-10600: Adovf1A083Fe</t>
  </si>
  <si>
    <t>Amd: Amd V Danube V140 Sc: 2.3 Ghz</t>
  </si>
  <si>
    <t>Amd Brazos</t>
  </si>
  <si>
    <t>Celxpert/San: 2.55Ahr: 3 Cell</t>
  </si>
  <si>
    <t>Cfast 8 Gb</t>
  </si>
  <si>
    <t>Winpvt 3D Video</t>
  </si>
  <si>
    <t>Broadcom: Hudson1 Integrated Lan</t>
  </si>
  <si>
    <t>Ericsson: Hspa: (Prisvaert)</t>
  </si>
  <si>
    <t>Fixed Mode&gt;High Performance Mode (Ac/Dc Auto Switch Enabled)</t>
  </si>
  <si>
    <t>Lfp + Dp + Dp</t>
  </si>
  <si>
    <t>20Gb/Disabled</t>
  </si>
  <si>
    <t>Auo: 11.6 Hd Ag Sva:  B116Xw03 V1</t>
  </si>
  <si>
    <t>Amd: Radeon Hd6310M</t>
  </si>
  <si>
    <t>Adata: 1024Mb: Pc3-10600: Ad73I1A0873Eg</t>
  </si>
  <si>
    <t>Amd Comal</t>
  </si>
  <si>
    <t>Celxpert/Sdi: 2.55Ahr: 3 Cell</t>
  </si>
  <si>
    <t>Cfast 16Gb</t>
  </si>
  <si>
    <t>720P</t>
  </si>
  <si>
    <t>Fixed Mode&gt;High Performance Mode (Ac/Dc Auto Switch Off)</t>
  </si>
  <si>
    <t>Lfp + Dp + Vga</t>
  </si>
  <si>
    <t>20Gb/Enabled</t>
  </si>
  <si>
    <t>Auo: 11.6 Hd Led Bv Sva:  B116Xw03 V0</t>
  </si>
  <si>
    <t>Amd: Radeon Hd7650M</t>
  </si>
  <si>
    <t>Adata: 1024Mb: Pc3-10600: Ad73I1A0873Eu</t>
  </si>
  <si>
    <t>Amd: Athlon Ii Danube P320 Dc: 2.1 Ghz</t>
  </si>
  <si>
    <t>Amd Hudson M1 A50M</t>
  </si>
  <si>
    <t>Cfast 32Gb</t>
  </si>
  <si>
    <t>Akashian 1.0</t>
  </si>
  <si>
    <t>Ericsson: Hspa: (Sonic)</t>
  </si>
  <si>
    <t>Fixed Mode&gt;Power Saving Mode (Ac/Dc Auto Switch On)</t>
  </si>
  <si>
    <t>Lfp + Dp + Dvi</t>
  </si>
  <si>
    <t>24Gb/Disabled</t>
  </si>
  <si>
    <t>Adata: 2048Mb: Pc3-10600: Adovf1B163Ge</t>
  </si>
  <si>
    <t>Amd: Athlon Ii Danube P340 Dc: 2.2 Ghz</t>
  </si>
  <si>
    <t>Amd Hudson M2 A60M</t>
  </si>
  <si>
    <t>Atheros: 802.11 B/G/N + Bluetooth 3.0 Combo (Malbec)</t>
  </si>
  <si>
    <t>Printer: Hp Deskjet Xxxx Printer</t>
  </si>
  <si>
    <t>Akashian 2.0</t>
  </si>
  <si>
    <t>Anti-Virus:  Trendmicro</t>
  </si>
  <si>
    <t>Ericsson: Hspa+: (F5321/Transonic)</t>
  </si>
  <si>
    <t>Fixed Mode&gt;Power Saving Mode (Ac/Dc Auto Switch Off)</t>
  </si>
  <si>
    <t>Off: Atheros: 802.11 B/G/N + Bluetooth 3.0 Combo (Malbec)</t>
  </si>
  <si>
    <t>Lfp + Dp + Hdmi (Via Dongle To Dp)</t>
  </si>
  <si>
    <t>24Gb/Enabled</t>
  </si>
  <si>
    <t>Liteon</t>
  </si>
  <si>
    <t>Adata: 2048Mb: Pc3-10600: Ad73I1B1674Eg</t>
  </si>
  <si>
    <t>Amd Hudson M3 A70M</t>
  </si>
  <si>
    <t>Atheros: 802.11 B/G/N + Bluetooth 3.0 Combo (Maryann)</t>
  </si>
  <si>
    <t>Novatel: 4G Lte: (Stinger)</t>
  </si>
  <si>
    <t>Uma Mode On Vista/Xp</t>
  </si>
  <si>
    <t>Off: Atheros: 802.11 B/G/N + Bluetooth 3.0 Combo (Maryann)</t>
  </si>
  <si>
    <t>Lfp + Dp + Dp + Dp</t>
  </si>
  <si>
    <t>32Gb/Disabled</t>
  </si>
  <si>
    <t>Auo: 12.5 Hd: B125Xw02</t>
  </si>
  <si>
    <t>Adata: 2048Mb: Pc3-10600: Ad73I1A0873Ev</t>
  </si>
  <si>
    <t>Amd: E300 Brazos Zacate: 1.3Ghz</t>
  </si>
  <si>
    <t>Celxpert/Lgc: 55Whr: 6 Cell</t>
  </si>
  <si>
    <t>Broadcom: 802.11 B/G/N + Bluetooth 3.0 Combo (Matador)</t>
  </si>
  <si>
    <t>Office 2010 Home And Business</t>
  </si>
  <si>
    <t>Novatel: 4G Lte: (Garter Vzw)</t>
  </si>
  <si>
    <t>Lfp + Dp + Dp + Vga</t>
  </si>
  <si>
    <t>32Gb/Enabled</t>
  </si>
  <si>
    <t>Adata: 2048Mb: Pc3-10600: Ad73I1B0873Ev</t>
  </si>
  <si>
    <t>Amd: E350 Brazos Zacate: 1.6Ghz</t>
  </si>
  <si>
    <t>Celxpert/San: 55Whr: 6 Cell</t>
  </si>
  <si>
    <t>Broadcom: 802.11 B/G/N + Bluetooth 3.0 Combo (Valentine)</t>
  </si>
  <si>
    <t>Expresscard: Usb 3.0 Controller</t>
  </si>
  <si>
    <t>Broadcom: 802.11 A/B/G/N (2X2)(Claret2)</t>
  </si>
  <si>
    <t>Novatel: 4G Lte: (Python Att)</t>
  </si>
  <si>
    <t>Off: Broadcom: 802.11 A/B/G/N (2X2)(Claret2)</t>
  </si>
  <si>
    <t>Lfp + Dp + Dp + Dvi</t>
  </si>
  <si>
    <t>Auo: 13.3 Hd: B133Xw01 V0</t>
  </si>
  <si>
    <t>Adata: 4096Mb: Pc3-10600: Ad73I1C1674Ev</t>
  </si>
  <si>
    <t>Amd: E450 Brazos Zacate: 1.65Ghz</t>
  </si>
  <si>
    <t>Celxpert/Sdi: 55Whr: 6 Cell</t>
  </si>
  <si>
    <t>Intel: 802.11 A/B/G/N + Bluetooth 3.0 Combo (Jackson Peak 2)</t>
  </si>
  <si>
    <t>Broadcom: 802.11 A/B/G/N (2X2)(Dragon)</t>
  </si>
  <si>
    <t>Off: Broadcom: 802.11 A/B/G/N (2X2)(Dragon)</t>
  </si>
  <si>
    <t>Lfp + Dp + Dp + Hdmi (Via Dongle To Dp)</t>
  </si>
  <si>
    <t>Auo: 13.3 Hd: B133Xw01 V1</t>
  </si>
  <si>
    <t>Amd: Thames Pro</t>
  </si>
  <si>
    <t>Amd: Llano A4-3300Mx: 2.5/1.9Ghz</t>
  </si>
  <si>
    <t>Intel: 802.11 B/G/N + Bluetooth 3.0 Combo (Jackson Peak 1)</t>
  </si>
  <si>
    <t>Intel: 82579-Lm (Lewisville)</t>
  </si>
  <si>
    <t>Lfp + Dp + Dp + Dp +Vga</t>
  </si>
  <si>
    <t>Auo: 13.3 Hd: B133Xw03 V1</t>
  </si>
  <si>
    <t>Amd: Thames Pro Gl</t>
  </si>
  <si>
    <t>Amd: Llano A4-3310Mx: 2.5/2.1Ghz</t>
  </si>
  <si>
    <t>Dynapack/Atl: 30Whr: 2 Cell</t>
  </si>
  <si>
    <t>Ralink: 802.11 A/B/G/N + Bluetooth 3.0 Combo (Rosemount)</t>
  </si>
  <si>
    <t>Qualcomm: Undp: (Gobi 3.0/Thunderbolt)</t>
  </si>
  <si>
    <t>Auo: 13.3 Hd: B133Xw04 V1</t>
  </si>
  <si>
    <t>Hlds: Sata Odd Bd Combo - 12.7Mm: Ct40N</t>
  </si>
  <si>
    <t>Amd: Whistler-M2 Xt</t>
  </si>
  <si>
    <t>Amd: Llano A6-3400Mx: 2.3/1.4Ghz</t>
  </si>
  <si>
    <t>Ralink: 802.11 B/G/N + Bluetooth 3.0 Combo (Rashi)</t>
  </si>
  <si>
    <t>Ms Office 2010</t>
  </si>
  <si>
    <t>Qualcomm: Undp: (Gobi 3.0/Warthog)</t>
  </si>
  <si>
    <t>Ati: Firepro M3900</t>
  </si>
  <si>
    <t>Elpida: 1024Mb: Pc3-10600: Ebj11Ue6Bbs0-Dj-F</t>
  </si>
  <si>
    <t>Amd: Llano A6-3410Mx: 2.3/1.6Ghz</t>
  </si>
  <si>
    <t>Dynapack/Sanyo: 28Whr: 3 Cell</t>
  </si>
  <si>
    <t>Ralink: 802.11 B/G/N + Bluetooth 3.0 Combo (Rashi2)</t>
  </si>
  <si>
    <t>Hlds: Sata Odd Bd Combo Ls - 12.7Mm: Ct21L</t>
  </si>
  <si>
    <t>Elpida: 1024Mb: Pc3-10600: Ebj11Ue8Bbs0-Dj-F</t>
  </si>
  <si>
    <t>Amd: Llano A8-3500Mx: 2.4/1.5Ghz</t>
  </si>
  <si>
    <t>Realtek: 802.11 B/G/N + Bluetooth 3.0 Combo (Tozai)</t>
  </si>
  <si>
    <t>Auo: 14.0 Hd: B140Xw03 V1</t>
  </si>
  <si>
    <t>Hlds: Sata Odd Bd-R/Re + Dvd Sm - 12.7Mm: Bt10N</t>
  </si>
  <si>
    <t>Elpida: 1024Mb: Pc3-10600: Ebj10Ue8Bds0-Dj-F</t>
  </si>
  <si>
    <t>Amd: Llano A8-3510Mx: 2.5/1.5Ghz</t>
  </si>
  <si>
    <t>Realtek: 802.11 B/G/N + Bluetooth 4.0 Combo (Tsunami)</t>
  </si>
  <si>
    <t>Realtek: Rtl8105El</t>
  </si>
  <si>
    <t>Hlds: Sata Odd Bd-R/Re + Dvd Sm - 12.7Mm: Bt11N</t>
  </si>
  <si>
    <t>Amd: Llano E2-3000M: 2.4/1.8Ghz</t>
  </si>
  <si>
    <t>Realtek: Rtl8105T-Vc-Cg</t>
  </si>
  <si>
    <t>Hlds: Sata Odd Bd-R/Re + Dvd Sm - 12.7Mm: Bt20N</t>
  </si>
  <si>
    <t>Amd: Phenom Ii Danube N620 Dc: 2.8 Ghz</t>
  </si>
  <si>
    <t>Realtek: Rtl8151Fh-Cg</t>
  </si>
  <si>
    <t>Off: Broadcom: 802.11 B/G/N + Bluetooth 3.0 Combo (Matador)</t>
  </si>
  <si>
    <t>Amd: Phenom Ii Danube N640 Dc: 2.9 Ghz</t>
  </si>
  <si>
    <t>Dynapack/Lgc: 31Whr: 3 Cell</t>
  </si>
  <si>
    <t>Off: Broadcom: 802.11 B/G/N + Bluetooth 3.0 Combo (Valentine)</t>
  </si>
  <si>
    <t>Elpida: 2048Mb: Pc3-10600: Ebj20Uf8Bcs0-Dj-F</t>
  </si>
  <si>
    <t>Amd: Phenom Ii Danube N830 Tri-Core: 2.1Ghz</t>
  </si>
  <si>
    <t>Intel Chief River Hm76</t>
  </si>
  <si>
    <t>Dynapack/San: 31Whr: 3 Cell</t>
  </si>
  <si>
    <t>Elpida: 2048Mb: Pc3-10600: Ebj21Ue8Bbs0-Dj-F</t>
  </si>
  <si>
    <t>Amd: Phenom Ii Danube N850 Tri-Core: 2.2 Ghz</t>
  </si>
  <si>
    <t>Intel Chief River Qm77</t>
  </si>
  <si>
    <t>Dynapack/San: 55Whr: 6 Cell</t>
  </si>
  <si>
    <t>Elpida: 2048Mb: Pc3-10600: Ebj21Ue8Bds0-Dj-F</t>
  </si>
  <si>
    <t>Amd: Phenom Ii Danube N930 Qc: 2.0 Ghz</t>
  </si>
  <si>
    <t>Off: Intel: 802.11 A/B/G (Pumapeak)</t>
  </si>
  <si>
    <t>Ati: M93-S</t>
  </si>
  <si>
    <t>Elpida: 2048Mb: Pc3-10600: Ebj21Ue8Bds1-Dj-F</t>
  </si>
  <si>
    <t>Amd: Phenom Ii Danube N950 Qc: 2.1 Ghz</t>
  </si>
  <si>
    <t>Usb Keyboard:   Ms Digital Media Pro Keyboard</t>
  </si>
  <si>
    <t>Intel: 802.11 A/B/G (Pumapeak)</t>
  </si>
  <si>
    <t>Ati:  Mobility Radeon Hd 6470 (Seymour Xt)</t>
  </si>
  <si>
    <t>Elpida: 2048Mb: Pc3-10600: Ebj21Ue8Bfu0-Dj-F</t>
  </si>
  <si>
    <t>Amd: Phenom Ii Danube P820 Tri-Core: 1.6 Ghz</t>
  </si>
  <si>
    <t>Usb Keyboard:   Viewsonic Viewmate Internet/Multimedia Kb</t>
  </si>
  <si>
    <t>Off: Intel: 802.11 A/B/G/N (Shirley Peak 1X2)</t>
  </si>
  <si>
    <t>Hlds: Sata Odd Dvd Sm Dl - 9.5Mm: Gu10N</t>
  </si>
  <si>
    <t>Elpida: 2048Mb: Pc3-12800: Ebj20Uf8Bcs0-Gn-F</t>
  </si>
  <si>
    <t>Amd: Phenom Ii Danube P840 Tri-Core: 1.8 Ghz</t>
  </si>
  <si>
    <t>Intel: 802.11 A/B/G/N (Shirley Peak 1X2)</t>
  </si>
  <si>
    <t>Off: Intel: 802.11 A/B/G/N (Shirley Peak 3X3)</t>
  </si>
  <si>
    <t>Hlds: Sata Odd Dvd Sm Dl - 12.7Mm: Gt50N</t>
  </si>
  <si>
    <t>Elpida: 2048Mb: Pc3-12800: Ebj20Uf8Bdu0-Gn-F</t>
  </si>
  <si>
    <t>Amd: Phenom Ii Danube P920 Qc: 1.9 Ghz</t>
  </si>
  <si>
    <t>Usb Keyboard:  Ms Natural Ergo Keyboard 4000</t>
  </si>
  <si>
    <t>Intel: 802.11 A/B/G/N (Shirley Peak 3X3)</t>
  </si>
  <si>
    <t>Off: Intel: 802.11 A/B/G/N (Taylor Peak 2X2)</t>
  </si>
  <si>
    <t>Elpida: 4096Mb: Pc3-10600: Ebj41Uf8Bas0-Dj-F</t>
  </si>
  <si>
    <t>Amd: Phenom Ii Danube P940 Qc: 1.7 Ghz</t>
  </si>
  <si>
    <t>Usb Keyboard:  Ms Wireless Keyboard</t>
  </si>
  <si>
    <t>Intel: 802.11 A/B/G/N (Taylor Peak 2X2)</t>
  </si>
  <si>
    <t>Off: Intel: 802.11 A/B/G/N + Bluetooth 3.0 Combo (Jackson Peak 2)</t>
  </si>
  <si>
    <t>Elpida: 4096Mb: Pc3-10600: Ebj41Uf8Bcs0-Dj-F</t>
  </si>
  <si>
    <t>Amd: Sabine: 1.46Ghz</t>
  </si>
  <si>
    <t>Off: Intel: 802.11 A/G/N (2X2)(Pumapeak)</t>
  </si>
  <si>
    <t>Elpida: 4096Mb: Pc3-10600: Ebj41Uf8Bcu0-Dj-F</t>
  </si>
  <si>
    <t>Intel: 802.11 A/G/N (2X2)(Pumapeak)</t>
  </si>
  <si>
    <t>Off: Intel: 802.11 A/G/N (3X3)(Pumapeak)</t>
  </si>
  <si>
    <t>Elpida: 4096Mb: Pc3-12800: Ebj40Uj8Bbu0-Gn-F</t>
  </si>
  <si>
    <t>Intel Nm10 Tiger Point</t>
  </si>
  <si>
    <t>Intel: 802.11 A/G/N (3X3)(Pumapeak)</t>
  </si>
  <si>
    <t>Hlds: Sata Odd Dvd Sm Dl Ls - 12.7Mm: Gt30L</t>
  </si>
  <si>
    <t>Elpida: 4096Mb: Pc3-12800: Ebj41Uf8Bcs0-Gn-F</t>
  </si>
  <si>
    <t>Intel Sm35 Whitney Point</t>
  </si>
  <si>
    <t>Hlds: Sata Odd Dvd Sm Dl Ls - 12.7Mm: Gt31L</t>
  </si>
  <si>
    <t>Elpida: 4096Mb: Pc3-12800: Ebj41Uf8Bdu0-Gn-F</t>
  </si>
  <si>
    <t>Off: Intel: 802.11 B/G/N (Condor Peak 1X2)</t>
  </si>
  <si>
    <t>Hlds: Sata Odd Dvd-Rom - 12.7Mm: Dt30N</t>
  </si>
  <si>
    <t>Elpida: 8192Mb: Pc3-12800: Ebj81Ug8Bbu0-Gn-F</t>
  </si>
  <si>
    <t>Amd: Trinity A6-4400M: 2.7Ghz</t>
  </si>
  <si>
    <t>Intel: 802.11 B/G/N (Condor Peak 1X2)</t>
  </si>
  <si>
    <t>Off: Intel: 802.11 B/G/N (Marble Peak 2X2)</t>
  </si>
  <si>
    <t>Hlds: Sata Odd Dvd-Rom - 12.7Mm: Dt50N</t>
  </si>
  <si>
    <t>Amd: Trinity A8-4500M: 1.9Ghz</t>
  </si>
  <si>
    <t>Dynapack/Atl: 73Whr: 9 Cell</t>
  </si>
  <si>
    <t>Kvm Switch Box: Hp 1X4 Kvm Switch</t>
  </si>
  <si>
    <t>Intel: 802.11 B/G/N (Marble Peak 2X2)</t>
  </si>
  <si>
    <t>Off: Intel: 802.11 B/G/N + Bluetooth 3.0 Combo (Jackson Peak 1)</t>
  </si>
  <si>
    <t>Amd: Trinity A10-4600M: 2.3Ghz</t>
  </si>
  <si>
    <t>Dynapack/Sanyo: 73Whr: 9 Cell</t>
  </si>
  <si>
    <t>Kvm Switch Box: Iogear Gcs1714 4 Port Kvm Switch</t>
  </si>
  <si>
    <t>Off: Intel Centrino Wireless-N 2200: 802.11 B/G/N (2X2) (Marble Peak)</t>
  </si>
  <si>
    <t>Auo: 17.3 Fhd: B173Hw02 V1</t>
  </si>
  <si>
    <t>Kvm Switch Box: Iogear Gcs1732 2-Port Kvm Switch</t>
  </si>
  <si>
    <t>Intel Centrino Wireless-N 2200: 802.11 B/G/N (2X2) (Marble Peak)</t>
  </si>
  <si>
    <t>Off: Intel Centrino Wireless-N 6205: 802.11 A/B/G/N (2X2) (Taylor Peak)</t>
  </si>
  <si>
    <t>Hynix: 1024Mb: Pc3-10600: Hmt112S6Bfr6C-H9N0</t>
  </si>
  <si>
    <t>Kvm Switch Box: Iogear Kvm Switch</t>
  </si>
  <si>
    <t>Intel Centrino Wireless-N 6205: 802.11 A/B/G/N (2X2) (Taylor Peak)</t>
  </si>
  <si>
    <t>Hgst: Sata 250Gb: 5400Rpm: Hts543225A7A384</t>
  </si>
  <si>
    <t>Hynix: 1024Mb: Pc3-10600: Hmt112S6Tfr6C-H9N0</t>
  </si>
  <si>
    <t>Auo: 17.3 Hd+: B173Rw01 V2</t>
  </si>
  <si>
    <t>Hlds: Sata Odd Dvd-Rom - 9.5Mm: Du20N</t>
  </si>
  <si>
    <t>Hynix: 1024Mb: Pc3-10600: Hmt112S6Tfr8C-H9N0</t>
  </si>
  <si>
    <t>Lgchem: 28Whr: 3 Cell</t>
  </si>
  <si>
    <t>Off: Ralink: 802.11 A/B/G/N + Bluetooth 3.0 Combo (Rosemount)</t>
  </si>
  <si>
    <t>Hynix: 1024Mb: Pc3-10600: Hmt112S6Bfr6C-G7N0</t>
  </si>
  <si>
    <t>Off: Ralink: 802.11 B/G/N + Bluetooth 3.0 Combo (Rashi)</t>
  </si>
  <si>
    <t>Hgst: Sata 250Gb: 7200Rpm: Hts723225A7A364</t>
  </si>
  <si>
    <t>Hynix: 1024Mb: Pc3-10600: Hmt312S6Bfr6C-H9N0</t>
  </si>
  <si>
    <t>Lgchem 2.55Ah: 55Whr: 6 Cell</t>
  </si>
  <si>
    <t>Off: Ralink: 802.11 B/G/N + Bluetooth 3.0 Combo (Rashi2)</t>
  </si>
  <si>
    <t>Lgchem 2.8Ah: 55Whr: 6 Cell</t>
  </si>
  <si>
    <t>Hgst: Sata 320Gb: 5400Rpm: Hts543232A7A384</t>
  </si>
  <si>
    <t>Off: Realtek: 802.11 B/G/N + Bluetooth 3.0 Combo (Tozai)</t>
  </si>
  <si>
    <t>Cmi: 11.6 Hd: N116Bge-L32</t>
  </si>
  <si>
    <t>Hgst: Sata 320Gb: 7200Rpm: Hts723232A7A364</t>
  </si>
  <si>
    <t>Usb Mouse:  Ms Intellimouse</t>
  </si>
  <si>
    <t>Svga Projector</t>
  </si>
  <si>
    <t>Off: Realtek: 802.11 B/G/N + Bluetooth 4.0 Combo (Tsunami)</t>
  </si>
  <si>
    <t>Cmi: 14.0 Hd: N140Bge-L12</t>
  </si>
  <si>
    <t>Optiarc: Sata Odd Bd Combo - 12.7Mm: Bc-5501H</t>
  </si>
  <si>
    <t>Hynix: 2048Mb: Pc3-10600: Hmt125S6Bfr8C-H9N0</t>
  </si>
  <si>
    <t>Amd: Turion Ii Danube P520 Dc: 2.3 Ghz</t>
  </si>
  <si>
    <t>Lgchem: 100Whr: 9 Cell</t>
  </si>
  <si>
    <t>Usb Mouse:  Ms Intellioptical Mouse 1.1</t>
  </si>
  <si>
    <t>Dvi/Wxga Projector</t>
  </si>
  <si>
    <t>Off: Wimax+Wlan Half Mini Card</t>
  </si>
  <si>
    <t>Cmi: 14.0 Hd: N140Bge-L22</t>
  </si>
  <si>
    <t>Optiarc: Sata Odd Bd Combo - 12.7Mm: Bc-5541H</t>
  </si>
  <si>
    <t>Hynix: 2048Mb: Pc3-10600: Hmt125S6Tfr8C-H9N0</t>
  </si>
  <si>
    <t>Amd: Turion Ii Danube P540 Dc: 2.4 Ghz</t>
  </si>
  <si>
    <t>Usb Mouse:  Ms Wireless Laser Mouse 6000</t>
  </si>
  <si>
    <t>Hdmi/Wxga Projector</t>
  </si>
  <si>
    <t>Wimax+Wlan Half Mini Card</t>
  </si>
  <si>
    <t>Cmi: 14.0 Hd: N140Bge-L31</t>
  </si>
  <si>
    <t>Optiarc: Sata Odd Bd Combo - 12.7Mm: Bc-5550H</t>
  </si>
  <si>
    <t>Hgst: Sata 500Gb: 5400Rpm: Hts547550A9E384</t>
  </si>
  <si>
    <t>Hynix: 2048Mb: Pc3-10600: Hmt325S6Bfr8C-H9N0</t>
  </si>
  <si>
    <t>Intel: Arrandale Core I3-330M C2: 2.13Ghz</t>
  </si>
  <si>
    <t>Sdi: 2.55Ahr: 3 Cell</t>
  </si>
  <si>
    <t>Hdmi/Xga Projector</t>
  </si>
  <si>
    <t>Cmi: 14.0 Hd: N140Bge-L32</t>
  </si>
  <si>
    <t>Optiarc: Sata Odd Bd-R/Re + Dvd Sm - 12.7Mm: Bd-5730H</t>
  </si>
  <si>
    <t>Hynix: 2048Mb: Pc3-12800: Hmt325S6Bfr8C-Pbn0</t>
  </si>
  <si>
    <t>Intel: Arrandale Core I3-350M C2: 2.26Ghz</t>
  </si>
  <si>
    <t>Usb Mp3 Player:  Microsoft Zune Digital Media Player</t>
  </si>
  <si>
    <t>Cmi: 14.0 Hd+: N140Fge-L31</t>
  </si>
  <si>
    <t>Optiarc: Sata Odd Bd-R/Re + Dvd Sm - 12.7Mm: Bd-5750H</t>
  </si>
  <si>
    <t>Hgst: Sata 500Gb: 7200Rpm: Hts727550A9E364</t>
  </si>
  <si>
    <t>Hynix: 2048Mb: Pc3-12800: Hmt325S6Cfr8C-Pbn0</t>
  </si>
  <si>
    <t>Intel: Arrandale Core I3-350M K0: 2.26Ghz</t>
  </si>
  <si>
    <t>Usb Mp3 Player: Ipod</t>
  </si>
  <si>
    <t>Cmi: 15.6 Hd: N156Bge-L11</t>
  </si>
  <si>
    <t>Hgst: Sata 640Gb: 5400Rpm: Hts547564A9E384</t>
  </si>
  <si>
    <t>Hynix: 256Mbx8: Ddr2 800Mhz (Pc6400): H5Ps2G83Afr-S6</t>
  </si>
  <si>
    <t>Intel: Arrandale Core I3-370M K0: 2.4Ghz</t>
  </si>
  <si>
    <t>Sdi: 100Whr: 9 Cell</t>
  </si>
  <si>
    <t>Cmi: 17.3 Hd+: N173Fge-La3</t>
  </si>
  <si>
    <t>Hgst: Sata 640Gb: 7200Rpm: Hts727564A9E364</t>
  </si>
  <si>
    <t>Hynix: 4096Mb: Pc3-8500: Hmt351S6Afr8C-G7N0</t>
  </si>
  <si>
    <t>Intel: Arrandale Core I3-380M K0: 2.53Ghz</t>
  </si>
  <si>
    <t>Simplo/San: 28Whr: 3 Cell</t>
  </si>
  <si>
    <t>Cmi: 17.3 Hd+: N173Fge-L13</t>
  </si>
  <si>
    <t>Hgst: Sata 750Gb: 7200Rpm: Hts727575A9E364</t>
  </si>
  <si>
    <t>Hynix: 4096Mb: Pc3-10600: Hmt351S6Afr8C-H9N0</t>
  </si>
  <si>
    <t>Intel: Arrandale Core I5-430M C2: 2.26Ghz</t>
  </si>
  <si>
    <t>Cmo: 8.9 Wsvga Ag: N089L6-L03</t>
  </si>
  <si>
    <t>Hynix: 4096Mb: Pc3-10600: Hmt351S6Bfr8C-H9N0</t>
  </si>
  <si>
    <t>Intel: Arrandale Core I5-450M K0: 2.4Ghz</t>
  </si>
  <si>
    <t>Optiarc: Sata Odd Dvd Sm Dl - 12.7Mm: Ad-7740H</t>
  </si>
  <si>
    <t>Hynix: 4096Mb: Pc3-12800: Hmt351S6Bfr8C-Pbn0</t>
  </si>
  <si>
    <t>Intel: Arrandale Core I5-460M K0: 2.53Ghz</t>
  </si>
  <si>
    <t>Nanoan 1.0</t>
  </si>
  <si>
    <t>Cmo: 10.1 Wsvga Ag: N101L6-L0A</t>
  </si>
  <si>
    <t>Optiarc: Sata Odd Dvd Sm Dl - 12.7Mm: Ad-7760H</t>
  </si>
  <si>
    <t>Intel:  Msata 20Gb</t>
  </si>
  <si>
    <t>Hynix: 4096Mb: Pc3-12800: Hmt351S6Cfr8C-Pbn0</t>
  </si>
  <si>
    <t>Intel: Arrandale Core I5-520M C2: 2.4Ghz</t>
  </si>
  <si>
    <t>Cmo: 11.6 Hd Led Bv Sva:  N116B6-L04</t>
  </si>
  <si>
    <t>Intel:  Msata 24Gb</t>
  </si>
  <si>
    <t>Hynix: 8192Mb: Pc3-12800: Hmt41Gs6Mfr8C-Pbn0</t>
  </si>
  <si>
    <t>Intel: Arrandale Core I5-520M K0: 2.4Ghz</t>
  </si>
  <si>
    <t>Intel: Ssd Sata 80Gb: 1.8"</t>
  </si>
  <si>
    <t>Intel: Arrandale Core I5-540M C2: 2.53Ghz</t>
  </si>
  <si>
    <t>Cmo: 13.3 Hd: N133B6-L01</t>
  </si>
  <si>
    <t>Intel: Ssd Sata 160Gb: 1.8"</t>
  </si>
  <si>
    <t>Intel: Arrandale Core I5-540M K0: 2.53Ghz</t>
  </si>
  <si>
    <t>Optiarc: Sata Odd Dvd Sm Dl Ls - 12.7Mm: Ad-7586H</t>
  </si>
  <si>
    <t>Intel: Arrandale Core I7-620M C2: 2.66Ghz</t>
  </si>
  <si>
    <t>Usb External Fdd</t>
  </si>
  <si>
    <t>Optiarc: Sata Odd Dvd Sm Dl Ls - 12.7Mm: Ad-7701H</t>
  </si>
  <si>
    <t>Intel: Arrandale Core I7-620M K0: 2.66Ghz</t>
  </si>
  <si>
    <t>Optiarc: Sata Odd Dvd Sm Dl Ls - 12.7Mm: Ad-7711H</t>
  </si>
  <si>
    <t>Intel: Arrandale-Lv Core I7-640Lm C2: 2.13Ghz</t>
  </si>
  <si>
    <t>Optiarc: Sata Odd Dvd Sm Dl Ls - 12.7Mm: Ad-7721H</t>
  </si>
  <si>
    <t>Intel: Ssd Sata 160Gb: 2.5"</t>
  </si>
  <si>
    <t>Micron: 1024Mb: Pc3-10600: Mt8Jsf12864Hz-1G1F1</t>
  </si>
  <si>
    <t>Intel: Arrandale-Lv Core I7-640Lm K0: 2.13Ghz</t>
  </si>
  <si>
    <t>Stl Tech./Atl: 30Whr: 2 Cell</t>
  </si>
  <si>
    <t>Optiarc: Sata Odd Dvd Sm Dl Ls - 9.5Mm: Ad-7930H</t>
  </si>
  <si>
    <t>Intel: Ssd Sata 160Gb: 2.5": Ssdsa2Bw160G3H</t>
  </si>
  <si>
    <t>Micron: 1024Mb: Pc3-10600: Mt8Jsf12864Hz-1G4F1</t>
  </si>
  <si>
    <t>Intel: Atom Lincroft M Z670:1.5Ghz</t>
  </si>
  <si>
    <t>Stl Tech./Sanyo: 30Whr: 2 Cell</t>
  </si>
  <si>
    <t>Optiarc: Sata Odd Dvd-Rom - 9.5Mm: Ddu7930H</t>
  </si>
  <si>
    <t>Micron: 1024Mb: Pc3-10600: Mt4Jsf12864Hz-1G4D1</t>
  </si>
  <si>
    <t>Intel: Atom N270:1.6Ghz</t>
  </si>
  <si>
    <t>Stl Tech./Lgc: 31Whr: 3 Cell</t>
  </si>
  <si>
    <t>Micron: Ssd Sata 128Gb: 2.5": Mtfd8Ak128Mag-1G1</t>
  </si>
  <si>
    <t>Intel: Atom N455:1.66Ghz</t>
  </si>
  <si>
    <t>Stl Tech./Sony: 31Whr: 3 Cell</t>
  </si>
  <si>
    <t>Micron: Ssd Sata 128Gb: 2.5": Mtfddak128Mam-1J1</t>
  </si>
  <si>
    <t>Intel: Atom N475:1.83Ghz</t>
  </si>
  <si>
    <t>Micron: Ssd Sata Sed 256Gb: 2.5": Mtfddak256Mam-1K12</t>
  </si>
  <si>
    <t>Intel: Atom N2600:1.66Ghz</t>
  </si>
  <si>
    <t>Usb Mp3 Player</t>
  </si>
  <si>
    <t>Samsung: Msata 32Gb: Mo-300: Mzmpa032Hmcd-000H1</t>
  </si>
  <si>
    <t>Micron: 2048Mb: Pc3-10600: Mt16Jsf25664Hz-1G1F1</t>
  </si>
  <si>
    <t>Intel: Atom N2800:1.86Ghz</t>
  </si>
  <si>
    <t>Samsung: Msata 64Gb: Mo-300: Mzmpa064Hmdr-000H1</t>
  </si>
  <si>
    <t>Micron: 2048Mb: Pc3-10600: Mt16Jsf25664Hz-1G4F1</t>
  </si>
  <si>
    <t>Stl Tech./Lgc 2.55Ah: 55Whr: 6 Cell</t>
  </si>
  <si>
    <t>Micron: 2048Mb: Pc3-10600: Mt8Jsf25664Hz-1G4D1</t>
  </si>
  <si>
    <t>Stl Tech./Sdi 2.55Ah: 55Whr: 6 Cell</t>
  </si>
  <si>
    <t>Samsung: Sata 250Gb: 5400Rpm: Hm250Hi</t>
  </si>
  <si>
    <t>Micron: 2048Mb: Pc3-10600: Mt8Ktf25664Hz-1G4M1</t>
  </si>
  <si>
    <t>Stl Tech./Lgc 2.8Ah: 55Whr: 6 Cell</t>
  </si>
  <si>
    <t>Samsung: Sata 250Gb: 5400Rpm: Hm251Hi</t>
  </si>
  <si>
    <t>Micron: 2048Mb: Pc3-12800: Mt8Ktf25664Hz-1G6M1</t>
  </si>
  <si>
    <t>Stl Tech./Sdi 2.8Ah: 55Whr: 6 Cell</t>
  </si>
  <si>
    <t>Samsung: Sata 250Gb: 7200Rpm: Hm250Hj</t>
  </si>
  <si>
    <t>Micron: 256Mbx8: Ddr2 800Mhz (Pc6400): D9Mtg</t>
  </si>
  <si>
    <t>Panasonic: Sata Odd Bd Combo - 12.7Mm :Uj141Af</t>
  </si>
  <si>
    <t>Samsung: Sata 320Gb: 5400Rpm: Hm321Hi</t>
  </si>
  <si>
    <t>Micron: 4096Mb: Pc3-10600: Mt16Jsf51264Hz-1G4D1</t>
  </si>
  <si>
    <t>Panasonic: Sata Odd Bd Combo - 12.7Mm :Uj160</t>
  </si>
  <si>
    <t>Samsung: Sata 320Gb: 7200Rpm: Hm320Hj</t>
  </si>
  <si>
    <t>Micron: 4096Mb: Pc3-10600: Mt16Ktf51264Hz-1G4M1</t>
  </si>
  <si>
    <t>Panasonic: Sata Odd Bd-R/Re + Dvdsm - 12.7Mm :Uj240A</t>
  </si>
  <si>
    <t>Samsung: Sata 500Gb: 5400Rpm: Hm501Ii</t>
  </si>
  <si>
    <t>Micron: 4096Mb: Pc3-12800: Mt16Ktf51264Hz-1G6M1</t>
  </si>
  <si>
    <t>Stl Tech./Lishen: 73Whr: 9 Cell</t>
  </si>
  <si>
    <t>Cmo: 15.6 Hd: N156B6-L0A</t>
  </si>
  <si>
    <t>Panasonic: Sata Odd Bd-R/Re + Dvdsm - 12.7Mm :Uj240Af</t>
  </si>
  <si>
    <t>Samsung: Sata 500Gb: 5400Rpm: Hn-M500Mbb</t>
  </si>
  <si>
    <t>Micron: 8192Mb: Pc3-12800: Mt16Ktf51G64Hz-1G6D1</t>
  </si>
  <si>
    <t>Inte:  Celeron-Dual-Core-Arrandale P4500: 1.86Ghz</t>
  </si>
  <si>
    <t>Stl Tech./Sanyo: 73Whr: 9 Cell</t>
  </si>
  <si>
    <t>Panasonic: Sata Odd Bd-R/Re + Dvdsm - 12.7Mm :Uj260</t>
  </si>
  <si>
    <t>Samsung: Sata 500Gb: 7200Rpm: Hm500Jj</t>
  </si>
  <si>
    <t>Intel: Clarksfield-Qc1 I7-720Qm B1: 1.6-2.8Ghz</t>
  </si>
  <si>
    <t>Stl Tech./Lgc: 100Whr: 9 Cell</t>
  </si>
  <si>
    <t>Panasonic: Sata Odd Dvd Sm Dl - 12.7Mm :Uj8B1</t>
  </si>
  <si>
    <t>Samsung: Sata 640Gb: 5400Rpm: Hm641Ji</t>
  </si>
  <si>
    <t>Intel: Clarksfield-Qc1 I7-740Qm B1: 1.73-2.8Ghz</t>
  </si>
  <si>
    <t>Stl Tech./Sdi: 100Whr: 9 Cell</t>
  </si>
  <si>
    <t>Panasonic: Sata Odd Dvd - Sm - Dl - 9.5Mm: Uj-892A</t>
  </si>
  <si>
    <t>Samsung: Sata 640Gb: 7200Rpm: Hm640Jj</t>
  </si>
  <si>
    <t>Intel: Clarksfield-Qc2 I7-820Qm B1: 1.73-3.06Ghz</t>
  </si>
  <si>
    <t>Nanya: 1024Mb: Pc3-10600: Nt1Gc64Bh4B0Ps-Cg</t>
  </si>
  <si>
    <t>Intel: Clarksfield-Qc2 I7-840Qm B1: 1.86-3.06Ghz</t>
  </si>
  <si>
    <t>Intel: Clarksfield-Xe I7-920Qm B1: 2.0-3.2Ghz</t>
  </si>
  <si>
    <t>Samsung: Ssd Sata 128Gb: 2.5": Mz7Pa128Hmcd-010H1</t>
  </si>
  <si>
    <t>Nanya: 2048Mb: Pc3-10600: Nt2Gc64B88B0Ns-Cg</t>
  </si>
  <si>
    <t>Intel: Clarksfield-Xe I7-940Qm B1: 2.13-3.2Ghz</t>
  </si>
  <si>
    <t>Cpt: 10.1 Hd Ag: Claa101Wa01</t>
  </si>
  <si>
    <t>Samsung: Ssd Sata 128Gb: 2.5": Mz7Pc128Hafu-000H1</t>
  </si>
  <si>
    <t>Nanya: 2048Mb: Pc3-12800: Nt2Gc64B88G0Ns-Di</t>
  </si>
  <si>
    <t>Nanya: 4096Mb: Pc3-10600: Nt4Gc64B8Hb0Ns-Cg</t>
  </si>
  <si>
    <t>Intel: Ivy Bridge Dual Core I3-3110M: 2.4Ghz</t>
  </si>
  <si>
    <t>Plds: Sata Bd Combo - 12.7Mm: Ds-6E2Sh</t>
  </si>
  <si>
    <t>Nanya: 4096Mb: Pc3-12800: Nt4Gc64B8Hg0Ns-Di</t>
  </si>
  <si>
    <t>Intel: Ivy Bridge Dual Core I5-3210M: 2.5Ghz</t>
  </si>
  <si>
    <t>Plds: Sata Odd Dvd Sm Dl - 12.7Mm: Ds-8A8Sh</t>
  </si>
  <si>
    <t>Pki: 1024Mb: Pc3-10600: Hp594907-Hr1-Eld</t>
  </si>
  <si>
    <t>Intel: Ivy Bridge Dual Core I5-3320M: 2.6Ghz</t>
  </si>
  <si>
    <t>Pki: 1024Mb: Pc3-10600: Hp594907-Hr1-Elfe</t>
  </si>
  <si>
    <t>Intel: Ivy Bridge Dual Core I5-3360M: 2.8Ghz</t>
  </si>
  <si>
    <t>Plds: Sata Odd Dvd Sm Dl Ls - 12.7Mm: Ds-8A5Lh</t>
  </si>
  <si>
    <t>Pki: 1024Mb: Pc3-10600: Hp594907-Hr1-Elfeu</t>
  </si>
  <si>
    <t>Intel: Ivy Bridge Dual Core I7-3520M: 3.6Ghz</t>
  </si>
  <si>
    <t>Hannstar: 8.9 Wsvga Ag: Hsd089Ifw3</t>
  </si>
  <si>
    <t>Plds: Sata Odd Dvd-Rom - 12.7Mm: Ds-8D3Sh</t>
  </si>
  <si>
    <t>Pki: 2048Mb: Pc3-10600: Hp594908-Hr1-Elcewg</t>
  </si>
  <si>
    <t>Intel: Ivy Bridge Quad Core I7-3610Qm: 2.3Ghz</t>
  </si>
  <si>
    <t>Hannstar: 10.1 Wsvga Ag: Hsd101Pfw2</t>
  </si>
  <si>
    <t>Pki: 2048Mb: Pc3-10600: Hp594908-Hr1-Eld</t>
  </si>
  <si>
    <t>Intel: Ivy Bridge Quad Core I7-3612Qm: 2.1Ghz</t>
  </si>
  <si>
    <t>Hydis: 12.1 Wxga Ag Led Digcompatible: Hv121Wx5</t>
  </si>
  <si>
    <t>Pki: 4096Mb: Pc3-10600: Hp536726-H41-Elcuw</t>
  </si>
  <si>
    <t>Intel: Ivy Bridge Quad Core I7-3720Qm: 2.6Ghz</t>
  </si>
  <si>
    <t>Hydis: 12.1 Wxga Ag Led Digcompatible: Hx121Wx1</t>
  </si>
  <si>
    <t>Seagate: Sata 250Gb: 5400Rpm: St9250315As</t>
  </si>
  <si>
    <t>Intel: Ivy Bridge Quad Core I7-3820Qm: 2.7Ghz</t>
  </si>
  <si>
    <t>Innolux: 14.0 Hd Ag: Bt140Gw02</t>
  </si>
  <si>
    <t>Seagate: Sata 250Gb 7Mm: 5400Rpm: St250Lt003</t>
  </si>
  <si>
    <t>Psc: 1024Mb: Pc3-10600: As7F8G73D-Dj2</t>
  </si>
  <si>
    <t>Lpl: 13.3 Hd: Lp133Wh1</t>
  </si>
  <si>
    <t>Seagate: Sata 250Gb 7Mm: 7200Rpm: St250Lt007</t>
  </si>
  <si>
    <t>Psc: 2048Mb: Pc3-10600: As8F8G73D-Dj2</t>
  </si>
  <si>
    <t>Tsst: Sata Odd Dvd Sm Dl - 12.7Mm: Sn-208Bb</t>
  </si>
  <si>
    <t>Seagate: Sata 320Gb: 5400Rpm: St9320325As</t>
  </si>
  <si>
    <t>Seagate: Sata 320Gb 7Mm: 5400Rpm: St320Lt020</t>
  </si>
  <si>
    <t>Intel: Pentium-Arrandale P6000: 1.86Ghz</t>
  </si>
  <si>
    <t>Intel: Pentium-Arrandale P6100: 2.0Ghz</t>
  </si>
  <si>
    <t>Intel: Sandy Bridge Celeron B840: 1.9Ghz</t>
  </si>
  <si>
    <t>Seagate: Sata 320Gb 7Mm: 7200Rpm: St320Lt007</t>
  </si>
  <si>
    <t>Intel: Sandy Bridge Dual Core B2 3Mb Sv Gt1 35W: 1.6Ghz</t>
  </si>
  <si>
    <t>Tsst: Sata Odd Dvd Sm Dl Ls - 12.7Mm: Ts-L633N</t>
  </si>
  <si>
    <t>Seagate: Sata 500Gb: 5400Rpm: St9500325As</t>
  </si>
  <si>
    <t>Intel: Sandy Bridge Dual Core B2 3Mb Sv Gt1 35W: 1.8Ghz</t>
  </si>
  <si>
    <t>Tsst: Sata Odd Dvd Sm Dl Ls - 12.7Mm: Ts-L633R</t>
  </si>
  <si>
    <t>Intel: Sandy Bridge Dual Core B2 4Mb Sv Gt2 35W: 1.6Ghz</t>
  </si>
  <si>
    <t>Tsst: Sata Odd Dvd-Rom- 12.7Mm: Sn-108Bb</t>
  </si>
  <si>
    <t>Seagate: Sata 500Gb: 7200Rpm: St9500423As</t>
  </si>
  <si>
    <t>Intel: Sandy Bridge Dual Core B2 4Mb Sv Gt2 35W: 1.8Ghz</t>
  </si>
  <si>
    <t>Tsst: Sata Odd Dvd-Rom- 12.7Mm: Ts-L333B</t>
  </si>
  <si>
    <t>Seagate: Sata 640Gb: 5400Rpm: St9640320As</t>
  </si>
  <si>
    <t>Ramaxel: 1024Mb: Pc3-10600: Rmt1950Ed48E7F-1333</t>
  </si>
  <si>
    <t>Intel: Sandy Bridge Dual Core B2 4Mb Sv Gt2 35W: 2.0Ghz</t>
  </si>
  <si>
    <t>Seagate: Sata 640Gb: 5400Rpm: St9640423As</t>
  </si>
  <si>
    <t>Ramaxel: 1024Mb: Pc3-10600: Rmt1950Ld48E7F-1333</t>
  </si>
  <si>
    <t>Seagate: Sata 750Gb: 7200Rpm: St9750420As</t>
  </si>
  <si>
    <t>Ramaxel: 1024Mb: Pc3-10600: Rmt3010Ef48E7W-1333</t>
  </si>
  <si>
    <t>Intel: Sandy Bridge Dual Core I3-2350M: 2.3Ghz</t>
  </si>
  <si>
    <t>Intel: Sandy Bridge Dual Core I3-2370M: 2.4Ghz</t>
  </si>
  <si>
    <t>Ramaxel: 2048Mb: Pc3-10600: Rmt1970Ed48E8F-1333</t>
  </si>
  <si>
    <t>Intel: Sandy Bridge Dual Core I5-2520M: 2.5Ghz</t>
  </si>
  <si>
    <t>Ramaxel: 2048Mb: Pc3-10600: Rmt1970Ld48E8F-1333</t>
  </si>
  <si>
    <t>Intel: Sandy Bridge Dual Core I5-2540M: 2.6Ghz</t>
  </si>
  <si>
    <t>Ramaxel: 2048Mb: Pc3-10600: Rmt3010Ec58E8F-1333</t>
  </si>
  <si>
    <t>Intel: Sandy Bridge Dual Core I7-2620M: 2.7Ghz</t>
  </si>
  <si>
    <t>Lpl: 15.6 Fhd Dreamcolor 2: Lp156Wf3</t>
  </si>
  <si>
    <t>Ramaxel: 2048Mb: Pc3-10600: Rmt3020Ef48E8W-1333</t>
  </si>
  <si>
    <t>Intel: Sandy Bridge Quad Core B2 6Mb Sv Gt1 45W: 1.6Ghz</t>
  </si>
  <si>
    <t>Toshiba: Sata 160Gb: 7200Rpm: Mk1656Gsy</t>
  </si>
  <si>
    <t>Ramaxel: 2048Mb: Pc3-12800: Rmt3150Ed58E8W-1600</t>
  </si>
  <si>
    <t>Intel: Sandy Bridge Quad Core B2 6Mb Sv Gt1 45W: 1.8Ghz</t>
  </si>
  <si>
    <t>Ramaxel: 4096Mb: Pc3-10600: Rmt3020Ec58E9F-1333</t>
  </si>
  <si>
    <t>Intel: Sandy Bridge Quad Core B2 8Mb Sv Gt2 45W: 1.6Ghz</t>
  </si>
  <si>
    <t>Toshiba: Sata 160Gb - 1.8" 5400 Rpm- Mk1633Gsg</t>
  </si>
  <si>
    <t>Ramaxel: 4096Mb: Pc3-12800: Rmt3160Ed58E9W-1600</t>
  </si>
  <si>
    <t>Intel: Sandy Bridge Quad Core B2 8Mb Sv Gt2 45W: 1.8Ghz</t>
  </si>
  <si>
    <t>Intel: Sandy Bridge Quad Core B2 8Mb Sv Gt2 45W: 2.0Ghz</t>
  </si>
  <si>
    <t>Toshiba: Sata 250Gb - 1.8" 5400 Rpm- Mk2533Gsg</t>
  </si>
  <si>
    <t>Intel: Sandy Bridge Quad Core C0 8Mb Sv Gt2 45W: 1.8Ghz</t>
  </si>
  <si>
    <t>Intel: Sandy Bridge Quad Core C0 8Mb Sv Gt2 45W: 2.2Ghz</t>
  </si>
  <si>
    <t>Intel: Sandy Bridge Quad Core I7-2720Qm: 2.2Ghz</t>
  </si>
  <si>
    <t>Intel: Sandy Bridge Quad Core I7-2820Qm: 2.3Ghz</t>
  </si>
  <si>
    <t>Samsung: 1024Mb: Pc3-10600: M471B2873Eh1-Ch9</t>
  </si>
  <si>
    <t>Intel: Sandy Bridge Quad Core Xe I7-2920Xm: 2.5Ghz</t>
  </si>
  <si>
    <t>Lpl: 17.3 Fhd: Lp173Wf1</t>
  </si>
  <si>
    <t>Toshiba: Sata 250Gb: 5400Rpm: Mk2576Gsx</t>
  </si>
  <si>
    <t>Samsung: 1024Mb: Pc3-10600: M471B2873Fhs-Ch9</t>
  </si>
  <si>
    <t>Lpl: 17.3 Fhd Dreamcolor 2: Lp173Wf3</t>
  </si>
  <si>
    <t>Samsung: 1024Mb: Pc3-10600: M471B2873Gb0-Ch9</t>
  </si>
  <si>
    <t>Toshiba: Sata 250Gb: 7200Rpm: Mk2561Gsyn</t>
  </si>
  <si>
    <t>Samsung: 11.6 Hd Led Bv Sva:  Ltn116At07</t>
  </si>
  <si>
    <t>Toshiba: Sata 320Gb: 5400Rpm: Mk3276Gsx</t>
  </si>
  <si>
    <t>Sec: 10.1 Hd Ag: Ltn101At03</t>
  </si>
  <si>
    <t>Toshiba: Sata 320Gb: 7200Rpm: Mk3261Gsyn</t>
  </si>
  <si>
    <t>Toshiba: Sata 320Gb - 1.8" 5400 Rpm- Mk3233Gsg</t>
  </si>
  <si>
    <t>Sec: 11.6 Hd Ag Sva: Ltn116At07</t>
  </si>
  <si>
    <t>Samsung: 2048Mb: Pc3-10600: M471B5673Eh1-Ch9</t>
  </si>
  <si>
    <t>Sec: 11.6 Hd Led Brightview: Sva</t>
  </si>
  <si>
    <t>Toshiba: Sata 500Gb: 5400Rpm: Mk5076Gsx</t>
  </si>
  <si>
    <t>Toshiba: Sata 500Gb: 7200Rpm: Mk5056Gsy</t>
  </si>
  <si>
    <t>Samsung: 2048Mb: Pc3-10600: M471B5773Chs-Ch9</t>
  </si>
  <si>
    <t>Sec:12.1 Wxga Ag Digcompatible: Ltn121Ap06</t>
  </si>
  <si>
    <t>Toshiba: Sata 500Gb: 7200Rpm: Mk5061Gsyn</t>
  </si>
  <si>
    <t>Samsung: 2048Mb: Pc3-10600: M471B5773Dh0-Ch9</t>
  </si>
  <si>
    <t>Toshiba: Sata 640Gb: 5400Rpm: Mk6465Gsx</t>
  </si>
  <si>
    <t>Samsung: 2048Mb: Pc3-12800: M471B5773Chs-Ck0</t>
  </si>
  <si>
    <t>Toshiba: Sata 640Gb: 5400Rpm: Mk6476Gsx</t>
  </si>
  <si>
    <t>Samsung: 2048Mb: Pc3-12800: M471B5773Dh0-Ck0</t>
  </si>
  <si>
    <t>Sec: 12.5 Hd: Ltn125At02</t>
  </si>
  <si>
    <t>Toshiba: Sata 640Gb: 7200Rpm: Mk6461Gsyn</t>
  </si>
  <si>
    <t>Sec: 13.3 Hd: Ltn133At16</t>
  </si>
  <si>
    <t>Samsung: 4096Mb: Pc3-8500: M471B5273Bh1-Cf8</t>
  </si>
  <si>
    <t>Sec: 13.3 Hd: Ltn133At17</t>
  </si>
  <si>
    <t>Samsung: 4096Mb: Pc3-10600: M471B5273Bh1-Ch9</t>
  </si>
  <si>
    <t>Samsung: 4096Mb: Pc3-10600: M471B5273Ch0-Ch9</t>
  </si>
  <si>
    <t>Samsung: 4096Mb: Pc3-10600: M471B5273Dh0-Ch9</t>
  </si>
  <si>
    <t>Samsung: 4096Mb: Pc3-10600: M471B1G73Ah0-Ch9</t>
  </si>
  <si>
    <t>Western Digital: Sata 250Gb: 5400Rpm: Wd2500Bevt-60A23T0</t>
  </si>
  <si>
    <t>Samsung: 4096Mb: Pc3-12800: M471B5273Ch0-Ck0</t>
  </si>
  <si>
    <t>Samsung: 4096Mb: Pc3-12800: M471B5273Dh0-Ck0</t>
  </si>
  <si>
    <t>Samsung: 8192Mb: Pc3-10600: M471B1G73Ah0-Ch9</t>
  </si>
  <si>
    <t>Western Digital: Sata 250Gb: 7200Rpm: Wd2500Bekt-60Pvmt0</t>
  </si>
  <si>
    <t>Samsung: 8192Mb: Pc3-12800: M471B1G73Bh0-Ck0</t>
  </si>
  <si>
    <t>Western Digital: Sata 320Gb: 5400Rpm: Wd3200Bevt-60A23T0</t>
  </si>
  <si>
    <t>Western Digital: Sata 320Gb: 7200Rpm: Wd3200Bekt-60Ka9T0</t>
  </si>
  <si>
    <t>Western Digital: Sata 320Gb: 7200Rpm: Wd3200Bekt-60Pvmt0</t>
  </si>
  <si>
    <t>Western Digital: Sata 500Gb: 5400Rpm: Wd5000Bpvt-60Hxzt1</t>
  </si>
  <si>
    <t>Western Digital: Sata 500Gb: 5400Rpm: Wd5000Bpvt-60Hxzt3</t>
  </si>
  <si>
    <t>Western Digital: Sata 500Gb: 7200Rpm: Wd5000Bekt-60Ka9T0</t>
  </si>
  <si>
    <t>Western Digital: Sata 500Gb: 7200Rpm: Wd5000Bpkt-60Pk4T0</t>
  </si>
  <si>
    <t>Western Digital: Sata 640Gb: 5400Rpm: Wd6400Bpvt-60Hxzt1</t>
  </si>
  <si>
    <t>Sec: 15.6 Hd Ag: Ltn156At05</t>
  </si>
  <si>
    <t>Western Digital: Sata 640Gb: 5400Rpm: Wd6400Bpvt-60Hxzt3</t>
  </si>
  <si>
    <t>Western Digital: Sata 750Gb: 7200Rpm: Wd7500Bpkt-60Pk4T0</t>
  </si>
  <si>
    <t>Sec: 15.6 Hd+ Ag: Ltn156Kt02</t>
  </si>
  <si>
    <t>Sec: 17.3 Hd+ : Ltn173Kt02</t>
  </si>
  <si>
    <t>W8ML32</t>
  </si>
  <si>
    <t>Win8 Multi-Language (32)</t>
  </si>
  <si>
    <t>W8EM32</t>
  </si>
  <si>
    <t>Win8 Emerging Mkts (32)</t>
  </si>
  <si>
    <t>W8CM32</t>
  </si>
  <si>
    <t>Win8 Chinese Mkt (32)</t>
  </si>
  <si>
    <t>W8ML64</t>
  </si>
  <si>
    <t>Win8 Multi-Language (64)</t>
  </si>
  <si>
    <t>W8EM64</t>
  </si>
  <si>
    <t>Win8 Emerging Mkts (64)</t>
  </si>
  <si>
    <t>W8CM64</t>
  </si>
  <si>
    <t>Win8 Chinese Mkt (64)</t>
  </si>
  <si>
    <t>RUNONCE:UPDATED-4</t>
  </si>
  <si>
    <t>BIOS TEST PLAN</t>
  </si>
  <si>
    <t>TEST PLANNING MODE</t>
  </si>
  <si>
    <t>1</t>
  </si>
  <si>
    <t>On the ProjectSettings worksheet, switch to Test Planning Mode.</t>
  </si>
  <si>
    <t>2</t>
  </si>
  <si>
    <t>In Design Mode, correctly edit all of the following items on the ProjectSettings worksheet:
          ▪ Test Plan Name
          ▪ Phase
          ▪ Matrix Version (This will be your project's test plan version for your own tracking purposes)
          ▪ Project Lead
          ▪ Test Lead
          ▪ Project Name</t>
  </si>
  <si>
    <t>EXECUTE RELEASE TEST</t>
  </si>
  <si>
    <t>Tester(s) execute Release tab on every new BIOS release prior to HFCN and send results to Test Leads/BIOS development team for review.</t>
  </si>
  <si>
    <t>MINIMUM COVERAGE</t>
  </si>
  <si>
    <t>Execute Release, Acceptance, EFI, Core, F10 tabs</t>
  </si>
  <si>
    <r>
      <t xml:space="preserve">ALL WORKSHEETS: </t>
    </r>
    <r>
      <rPr>
        <i/>
        <sz val="10"/>
        <color indexed="9"/>
        <rFont val="Arial"/>
        <family val="2"/>
      </rPr>
      <t>Note: The following applies to all worksheets.</t>
    </r>
  </si>
  <si>
    <t>For every new BIOS release the Test Lead needs to create a new configuration column and start a new test cycle.</t>
  </si>
  <si>
    <t>The Test Lead has to select one OS from Environment under 32-Bit Supported OS. The alternation of Environment's OS is recommanded for every new BIOS release.</t>
  </si>
  <si>
    <t>3</t>
  </si>
  <si>
    <t>The Environment was added to F10 wokrsheet. Only Vista Business and Vista Enterprise are available for OS selection.</t>
  </si>
  <si>
    <t>4</t>
  </si>
  <si>
    <t>The test procedure for light pink colored cell is not implemented yet. It will be available until later time.</t>
  </si>
  <si>
    <t>REVISION HISTORY</t>
  </si>
  <si>
    <t>Version</t>
  </si>
  <si>
    <t>Author</t>
  </si>
  <si>
    <t>Date</t>
  </si>
  <si>
    <t>Worksheet</t>
  </si>
  <si>
    <t>Test case</t>
  </si>
  <si>
    <t>DESCRIPTION OF CHANGE</t>
  </si>
  <si>
    <t>2012 Initial Release</t>
  </si>
  <si>
    <t>Christian Pena</t>
  </si>
  <si>
    <t>7/9/2010</t>
  </si>
  <si>
    <t>All</t>
  </si>
  <si>
    <t>Initial release</t>
  </si>
  <si>
    <t>1.01</t>
  </si>
  <si>
    <t>7/20/2010</t>
  </si>
  <si>
    <t>Added "System Memory Map (WinPVT)" test case
Added "Disable Computrace by change Serial #, Battery and HardDrive" 
Added "CPQTAG automated test (DOSPVT)" test case
Removed "AES-NI with TPM disable" test case
Added GPIO detection and SSID
Added PCID Validation (WinPVT)
Removed "SIM Battery Removal protection" test case, since WinPVT WMI Bios Configuration test case covers this scenario
Rename C-state test case name to not included WinPVT
Added Microcode Update test case
Removed "Modified Startup" test, incorporated scenario in Factory Control Mode Enable/Disable test case
Added "EFI Bios Check tool" test case
Added Virtualization Test case
Added "Flash Microcode Update"</t>
  </si>
  <si>
    <t>1.02</t>
  </si>
  <si>
    <t>7/27/2010</t>
  </si>
  <si>
    <t>Remove Place holders, to be tested when bios/hardware/tool are available
Remove Duplicate test case (WMI BiosCONfiguration)
Change name to "Quick Web and HyperSpce syport")
Removed "Battery Charge Control (UEMI)" since BiosCheck.efi covers functionality
Removed "UEFI Management Interface: Battery Information" covered by HP Advanced System Diagnostics check (MIT Test Plan)
Removed "UEFI Management Interface: Warranty Start Date" since BiosCheck and HP Advanced System Diagnostics covers test
Removed "UEFI Management Interface: System Thermal", cover by BiosCheck.efi tool
Removed "UEFI Management Interface: ATA Pass-Thru", will not be supported for 2011 BNB platforms.
Added "Bios Flash Cache support" test case
Remove WinPVT test cases with no available implementation (to be added back when developed)
Added "NVRAM Brightness Implementation"</t>
  </si>
  <si>
    <t>1.03</t>
  </si>
  <si>
    <t>8/4/2010</t>
  </si>
  <si>
    <t>Added "HP Protect Tool User Creation, SSO, F10 validation" test case</t>
  </si>
  <si>
    <t>1.04</t>
  </si>
  <si>
    <t>Removed test case: "CPQTAG automated test (DOSPVT)" will be added in the future when implemented'
Added Processor P-States test case and Intel Turbo Bost Technology
Created new section for Ports and Devices (previously under F10 menu)</t>
  </si>
  <si>
    <t>1.05</t>
  </si>
  <si>
    <t>8/15/2010</t>
  </si>
  <si>
    <t xml:space="preserve">Removed "Disable Computrace bios changing Serial #, Battery and Hard Drive", added to MIT test plan
Added "Absolute Computrace Alternative IP Address"
Added "Panel EDID Information"
</t>
  </si>
  <si>
    <t>1.06</t>
  </si>
  <si>
    <t>8/28/2010</t>
  </si>
  <si>
    <t>Rename the TCE suite to be run starting from PV phase
Added PnP ID devices check
Added "Release" tab from MIT test plan for Functional Test Plan
Combine "Numlock: Fn+Numlock To Enable/Disable Internal Numeric Keys" with "NumLock: Keyb Function Keys with numbering"
Added WinPVT Acceptance Quick
Added Battery Support:Battery Charge
Added Digital Panel Support
Added HP WMI Acceptance Test
Added F10 Sanity Check
Added Accelerometer test case
Launch Hp Signed from HP_TOOLS partition (To start on PV phase)</t>
  </si>
  <si>
    <t>1.07</t>
  </si>
  <si>
    <t>8/31/2010</t>
  </si>
  <si>
    <t>Corrected ProjectSummary Tab, Release tab was not beeing calculated
Added E-Sata Boot support under "Release" tab
Corrected broken links</t>
  </si>
  <si>
    <t>1.08</t>
  </si>
  <si>
    <t>9/5/2010</t>
  </si>
  <si>
    <t>Added CPQTAG functional test case</t>
  </si>
  <si>
    <t>1.09</t>
  </si>
  <si>
    <t>9/14/2010</t>
  </si>
  <si>
    <t>Removed "HP WMI Interface: Device Firmware Update", will add back if implemented.
Removed place Holder for HP WMI Thermal Diagnostics command</t>
  </si>
  <si>
    <t>1.10</t>
  </si>
  <si>
    <t>9/23/2010</t>
  </si>
  <si>
    <t>Relese TAB</t>
  </si>
  <si>
    <t>Release TAB, Functional Tab</t>
  </si>
  <si>
    <t>Added "Boot to 2nd Internal Notebook Hard Drive" under the Release TAB
Removed place holder for SED Opal test</t>
  </si>
  <si>
    <t>1.11</t>
  </si>
  <si>
    <t>10/8/2010</t>
  </si>
  <si>
    <t>Functional Tab</t>
  </si>
  <si>
    <t>Corrected matrix formula, for proper cycle calculation
Added eRompaq functional test under Int 15 support
Changed name erompaq funtional test from Flash support to "Flash with Erompaq with different security features enable"
Added Drivelock and AutoDrivelock password test cases with SED Drives for better tracking
Added Wireless Button test</t>
  </si>
  <si>
    <t>1.12</t>
  </si>
  <si>
    <t>10/12/2010</t>
  </si>
  <si>
    <t>Added "MPM Mode" test case
Added "D3E Sleep State for JMicron Memory Card/1394 controller" test case</t>
  </si>
  <si>
    <t>1.13</t>
  </si>
  <si>
    <t>10/22/2010</t>
  </si>
  <si>
    <t>Added "Keyb Function Keys (I.E Fn-F4, Fn-F5, Fn-F8, Fn-F11, Etc.)"
Added "Power Mgmt Panel Brightness On Ac/Dc (Verify Increments)"
Added "Power status change via panel brightness up/down"
Changed name of Wireless Hardware Button, to reflect other Bezel Button testing
Added Lid Support
Added Switchable Graphics support
Removed 2011 Display Switching case, no need as a test case, to be followed as a guide when testing Fn + F4
Remove Custom URL support, run under Integration Plan
Remove case Ports and Built in devices, replaced by independent test cases for better tracking (DOCK ports check were moved to Integration plan, reducing time for testing)</t>
  </si>
  <si>
    <t>1.14</t>
  </si>
  <si>
    <t>11/8/2010</t>
  </si>
  <si>
    <t xml:space="preserve">Diviced Functional TAB in 2, to provide 3 days testing HFCN release and 2 days completion
Added "FLASH – with Intel FPT.exe tool" test case under Release Tab
</t>
  </si>
  <si>
    <t>1.15</t>
  </si>
  <si>
    <t>11/15/2010</t>
  </si>
  <si>
    <t>Added back links for WLAN Lock and WWAN Lock
Added "WWAN SIM card enabled/disabled without internal battery attached" test case
Removed "Virtulization" test case, will be covered under MPM test case</t>
  </si>
  <si>
    <t>1.16</t>
  </si>
  <si>
    <t>11/22/2010</t>
  </si>
  <si>
    <t>Acceptance (3 days)</t>
  </si>
  <si>
    <t>Added the following test cases:
Wireless Combo Card: Wlan/BlueTooth with secondary RF
Wireless Combo Card: Wlan/BlueTooth with NO secondary RF
Wireless Combo Card: Wlan/WWAN with secondary RF
Wireless Combo Card: Wlan/WWAN with NO secondary RF
Wireless Combo Card: WWAN/GPS with secondary RF
Wireless Combo Card: WWAN/GPS with NO secondary RF
WMI BackLit Keyboard Support
Remove Place Holder for "AutoScreen Rotation"</t>
  </si>
  <si>
    <t>1.17</t>
  </si>
  <si>
    <t>12/7/2010</t>
  </si>
  <si>
    <t>Remove Combo Card: WWAN/GPS with NO secondary RF, since there's no new bios implementation for this cards</t>
  </si>
  <si>
    <t>1.18</t>
  </si>
  <si>
    <t>12/30/2010</t>
  </si>
  <si>
    <t>Acceptance (Full)</t>
  </si>
  <si>
    <t>Added Over Current Protection testing (Full TAB)</t>
  </si>
  <si>
    <t>1.19</t>
  </si>
  <si>
    <t>Removed "SCI/SMI: Display Devices Interactive and Automated (Winpvt) -- Overnight for Automated" per developer requirement (ref: Observation 0695037)</t>
  </si>
  <si>
    <t>1.20</t>
  </si>
  <si>
    <t>2/7/2011</t>
  </si>
  <si>
    <t>Removed: "Boot Device Manager: Hard Disk Error" test case, removed from TCE specs
Added: HPQFLASH with HD activity (WinPVT) - Overnight
Added : HPQFLASH on delay mode with HD activity (WinPVT) - Overnight
Added: Bootblock Flash (WinPVT) - Overnight
Added: Commit VPRO under EFI enviroment</t>
  </si>
  <si>
    <t>1.21</t>
  </si>
  <si>
    <t>2/16/2011</t>
  </si>
  <si>
    <t>Acceptance (3 Days)</t>
  </si>
  <si>
    <t>Added "AMD Turbo Boost" test case</t>
  </si>
  <si>
    <t>1.22</t>
  </si>
  <si>
    <t>2/24/2011</t>
  </si>
  <si>
    <t>Release, Acceptance (3 Days) and Full</t>
  </si>
  <si>
    <t>Added: HPQFlash - Downgrade from F series to B series (PV or later)
Added: SPI Lock Protection test
Added: Bios Recovery Deliverable</t>
  </si>
  <si>
    <t>1.23</t>
  </si>
  <si>
    <t>Acceptance (3 Days), Full</t>
  </si>
  <si>
    <t>Updated Project Configuration Info to version 8.05
Corrected "AMD Turbo Boost" test case name to "AMD Core Performance Boost (CPB)"
Added "AMD NB P-States" test case
Removed Cfast support test cases, per DCR 84745
Added "NbDmiFit branding tool" test case</t>
  </si>
  <si>
    <t>1.24</t>
  </si>
  <si>
    <t>4/5/2011</t>
  </si>
  <si>
    <t>Release tab</t>
  </si>
  <si>
    <t>Moved "SPI Lock protection" test case to from 3 Day Test TAB to the Release TAB so it can be completed within 4 hours of the bios beeing released.</t>
  </si>
  <si>
    <t>1.25</t>
  </si>
  <si>
    <t>5/1/2011</t>
  </si>
  <si>
    <t xml:space="preserve">Created test case "Flash HPQFlash Downgrade" for better tracking purpose </t>
  </si>
  <si>
    <t>1.26</t>
  </si>
  <si>
    <t>5/22/2011</t>
  </si>
  <si>
    <t>Added  the following test cases under 3 day TAB
 - Downgrade directly to B.XX bios using Erompaq/HPQFlash from a F series bios
 - AMD Limited Switchable Graphics Support for AMD A-series processors
Added the following test cases per BCR 85291 under Release TAB
 - Dos: Flash - Rompaq (Upgrade) To A F.2X Or B.9X Bios From A Last Customer Release Bios That Is Not F.2X Bios
 - Dos: Flash - Rompaq (Downgrade Rollback Prevention) From F.2X Or B.9X Bios To A Non F.2X Or B.9X Bios
 - DOS: Flash - Bios Crisis Recovery (Downgrade Rollback Prevention) from F.2X or B.9X bios to a non F.2X or B.9X bios
 - DOS: Bios Downgrade from F.2X or B.9X bios to a non F.2X or B.9X bios by SMC key usage
 - Flash Hpqflash (Downgrade Rollback Prevention) Bios From F.2X/B.9X Bios To A Customer Release Bios That Is Not A F.2X/B.9X Bios
 - Flash Hpqflash Upgrade From Last Customer Release Bios That Is Non F.2X/B.9X To A F.2X/B.9X Bios - F-Series Bios
Added the following test cases per BCR 85291 under 3 day TAB
 - Flash - Bios Crisis Recovery With A Corrupted Signature File (For F.2X or B.9X bios)
 - Flash - Bios Dok Auto Recovery (For F.2X Or B.9X Bios)
 - Flash - Bios Corruption Prevention By Manually Corrupting Bios Bin/Cab File (For F.2X or B.9X bios
 - Flash - Pending Boot Block Prevention (For F.2X or B.9X)</t>
  </si>
  <si>
    <t xml:space="preserve"> - Created a QuickWeb test case under the release tab based on Core Bios requirement
 - Added Swichable Graphics for AMD A-Series bios while in MPM mode</t>
  </si>
  <si>
    <t>1.00</t>
  </si>
  <si>
    <t>6/012011</t>
  </si>
  <si>
    <t>7/1/2011</t>
  </si>
  <si>
    <t xml:space="preserve"> - Added "Core" column to ProjectSummary tab
 - Added Proyect Configuration data version 9.0 to test plan for 2012 platforms support
 - Added MPM mode by SMC
 - Added MPM mode by server
 - Added link for "Smart Card Power Management" test case
 - Added WMI Warranty Start Date test case (Acceptance 3 days tab) 
 - Removed "Power OFF when AC is removed" will not be suppoerted for 2012 platforms
 - Added Peak Shift test cases under Core TAB
 - Added USB 3.0 Performance Test
-  Added Port test cases</t>
  </si>
  <si>
    <t>7/20/2011</t>
  </si>
  <si>
    <t xml:space="preserve"> - Added Proyect Configuration data version 9.1
 - Added Intel DMI Peg Interface Link Speed test case
 - Added "Bios Crisis Recovery on GPT partition (UEFI) OS" test case
 - Added Save/Restore Master Boot Record (MBR) test case
 - Corrected Flash by FPT link from release tab
 - Added "WMI Bios Backup - WinPVT test cases
 - Change the name for Intel SelfCeck for Intel SelftTest, also updated hyperlink to new test case.
 - Added ACPI 5.0 Bios Support (Core TAB)
 - Added link for "WIN 8 SEAMLESS BOOT" test case
 - Added Link for "TouchPad" test case
 - Added Link for "Image Sensor" test case
 - Added Link for "Wake on Lid" test case
 - Added F10 language support from local HD</t>
  </si>
  <si>
    <t>9/1/2011</t>
  </si>
  <si>
    <t xml:space="preserve"> - Added basic ZPOD testing for Intel and AMD platform
 - Moved MS Digital Marker test case to Release TAB</t>
  </si>
  <si>
    <t>9/15/2011</t>
  </si>
  <si>
    <t xml:space="preserve"> - Added back Drivelock Password test cases to the Core TAB
 - Added Security Hardening with Computrace Disable
 - Moved "MPM by Server" to release tab
 - Removed QuickWeb and Flip test cases</t>
  </si>
  <si>
    <t>10/232011</t>
  </si>
  <si>
    <t xml:space="preserve"> - Added back WinPVT Computrace test cases (CORE TAB)
 - Added back TCG Bios Interface Test
</t>
  </si>
  <si>
    <t>10/27/2011</t>
  </si>
  <si>
    <t xml:space="preserve"> - Changed name to "MPM mode from Windows" instead of "From Server"
 - Added Quick Connect test case
 - Added M-Sata test case
 - Declared TBD for "WMI Bios Backup WMI on GPT partition"
 - Split Upgrade bios test case from Re-flash test cases for better progress update
 - Removed F10 Language Support from Release tab, implementation has been dropped</t>
  </si>
  <si>
    <t>11/13/2011</t>
  </si>
  <si>
    <t xml:space="preserve"> - Added "UEFI Native Mode video support" test case under Release tab
 - Corrected "WMI Bios Flash" test case link
 - Removed Both AMD Switchable Graphics test cases since Intel and AMD S class platforms will share the same test case.
 - Move "Bios Crisis Recovery on GPT" partition to Release TAB
 - Added Deep Sleep under Core TAB
 - Added Deep Sleep (WinPVT) under 3 Day TAB</t>
  </si>
  <si>
    <t>12/12/2011</t>
  </si>
  <si>
    <t xml:space="preserve"> - Added VPRO/SPI/Platform ID as part of the Information section for each test suite</t>
  </si>
  <si>
    <t xml:space="preserve"> - Added NVReclaim test case under Full tab</t>
  </si>
  <si>
    <t xml:space="preserve"> - Added Reset Bios Secuirty to Factory Defaults</t>
  </si>
  <si>
    <t xml:space="preserve"> - Removed Backup/Restore GPT test case since support will be dropped from bios</t>
  </si>
  <si>
    <t xml:space="preserve"> - Removed F10 Language Support from local HD (not supported anymore)</t>
  </si>
  <si>
    <t xml:space="preserve"> - Added WMI BIOS Flash BackUp GPT partition (10 cycles) test case under :Full: TAB</t>
  </si>
  <si>
    <t xml:space="preserve"> - Corrected broken links including missing ones</t>
  </si>
  <si>
    <t xml:space="preserve"> - Removed WLAN LOCK test case per BCR 94873</t>
  </si>
  <si>
    <t>1/18/2012</t>
  </si>
  <si>
    <t xml:space="preserve"> - Removed PEG Link check test case, per Bios Core resolution
 - Added Flash HPQflash Upgrade in Delay Mode UEFI OS (GPT partition)
 - Flash HPQflash Reflash in Delay Mode on UEFI OS (GPT)
 - Flash HPQflash Downgrade on UEFI OS (GPT Partition)
 - BIOS Backup - From F10
 - BIOS Backup on GPT partition from F10
 - Added Links for All Win8 test cases:
       - Win 8 - Secure Boot
       - Win 8 - Seamless Boot
       - Win 8 - Measured Boot - BitLocker
       - Win8 - Measured Boot - TPM PPI 1.2 (Physical Presence Interface) (WinPVT) for Win8
       - Win8 - Measured Boot - Memory Clearing
       - Win 8 - Edrive
       - Win 8 - Windows 8 to GO
       - Win 8 GPT Recovery  - F11 Recovery
 - Added IPV6 PXE boot test case</t>
  </si>
  <si>
    <t>Kim Vo</t>
  </si>
  <si>
    <t>2/11/2012</t>
  </si>
  <si>
    <t xml:space="preserve"> - Added Hypervisor test case under Core TAB</t>
  </si>
  <si>
    <t>3/7/2012</t>
  </si>
  <si>
    <t xml:space="preserve"> - Updated Bios Test Plan to project configuration 9.06
 - Declared NA "AMD NB P States" test case since NP P states are mostly controlled by vthe GPU driver </t>
  </si>
  <si>
    <t xml:space="preserve"> - Included Win8 support under Enviroment.
 - Added Secure Boot (on/off) in the Configuration. </t>
  </si>
  <si>
    <t>6/06/2012</t>
  </si>
  <si>
    <t xml:space="preserve"> • Added Bios Downgrade from F.2X or B.9X bios to a non F.2X or B.9X bios by SMC key usage testcase. 
• Added Win 8 - Boot Time using Registry test case.
• Win 8 - ADK Boot Time Test Case
•  Win 8 - HW Configuration change using FACS table HW signature
• Win 8 - UMDF Security Metro Test case
• Win 8 - MS Digital Marker Support Test case.
• Added FFS test case.
</t>
  </si>
  <si>
    <t>6/11/2012</t>
  </si>
  <si>
    <t>• Added Test Cases.
         Win 8 – Boot to Firmware.
         Win 8 – WinRE</t>
  </si>
  <si>
    <t>6/20/2012</t>
  </si>
  <si>
    <t xml:space="preserve">• Added Test Cases.
         Acceptance - NIST - AMD SPI Control Register and Restricted Command
         Acceptance - Intel- NIST - TC01 Control Register                                                                                          Acceptance - Intel - NIST - BIOS Control Register       </t>
  </si>
  <si>
    <t>2013 Initial Release</t>
  </si>
  <si>
    <t>Catherine Xia</t>
  </si>
  <si>
    <t>8/22/2012</t>
  </si>
  <si>
    <t>9/13/2012</t>
  </si>
  <si>
    <t>HP Confidential</t>
  </si>
  <si>
    <t>WinPVT version</t>
  </si>
  <si>
    <t>enter WinPVT version here</t>
  </si>
  <si>
    <t>Enter your OTS login ID</t>
  </si>
  <si>
    <t>Platform Bios System ID (For example "1782")</t>
  </si>
  <si>
    <t>Vpro State (On/OFF/NA)</t>
  </si>
  <si>
    <t>Secure Boot (On/Off)</t>
  </si>
  <si>
    <t>SPI Part (For example "WinBond (8M) W25Q64BV"), using tool "SpiInfo.exe"</t>
  </si>
  <si>
    <t>System Ports</t>
  </si>
  <si>
    <t>Built In Devices</t>
  </si>
  <si>
    <t>Bios Features</t>
  </si>
  <si>
    <t>`</t>
  </si>
  <si>
    <t>Release</t>
  </si>
  <si>
    <t>Full</t>
  </si>
  <si>
    <t>Core</t>
  </si>
  <si>
    <t>Alvin Jacket</t>
  </si>
  <si>
    <t>Archie Dock</t>
  </si>
  <si>
    <t>Afterburn 1.0</t>
  </si>
  <si>
    <t>Aftershock 1.0</t>
  </si>
  <si>
    <t>Win7 Embedded</t>
  </si>
  <si>
    <t>Win8 Chinese Market (64)</t>
  </si>
  <si>
    <t>Win8 Emerging Markets (64)</t>
  </si>
  <si>
    <t>Win8: Bubbles</t>
  </si>
  <si>
    <t>Win8 Chinese Market</t>
  </si>
  <si>
    <t>Quest</t>
  </si>
  <si>
    <t>Win8 Emerging Markets</t>
  </si>
  <si>
    <t>Bullet 1.0</t>
  </si>
  <si>
    <t>Win8 Multi-Language</t>
  </si>
  <si>
    <t>Butternut6U 1.4</t>
  </si>
  <si>
    <t>Comet 1.0</t>
  </si>
  <si>
    <t>Cyclone 1.0</t>
  </si>
  <si>
    <t>Elise6U 1.0</t>
  </si>
  <si>
    <t>Fiji 1.0</t>
  </si>
  <si>
    <t>Flores 1.0</t>
  </si>
  <si>
    <t>Fraser 1.0</t>
  </si>
  <si>
    <t>Hadid6U 1.0</t>
  </si>
  <si>
    <t>Maverick 1.0</t>
  </si>
  <si>
    <t>Outlaw 1.0</t>
  </si>
  <si>
    <t>Phantom 1.0</t>
  </si>
  <si>
    <t>Python 1.0</t>
  </si>
  <si>
    <t>Racer 1.0</t>
  </si>
  <si>
    <t>Rampage 1.0</t>
  </si>
  <si>
    <t>Renegade 1.0</t>
  </si>
  <si>
    <t>Ricochet 1.0</t>
  </si>
  <si>
    <t>Switchback 1.0</t>
  </si>
  <si>
    <t>Titan 1.0</t>
  </si>
  <si>
    <t>Viper 1.0</t>
  </si>
  <si>
    <t>Cyberlink</t>
  </si>
  <si>
    <t>1080Phd</t>
  </si>
  <si>
    <t>Hp 2005Pr Usb 2.0 Port Replicator</t>
  </si>
  <si>
    <t>Atheros: 802.11 A/B/G/N + Bluetooth 4.0 Combo (2X2)(Margarita)</t>
  </si>
  <si>
    <t>8Mp</t>
  </si>
  <si>
    <t>Huawei: Compass: (Mu733)</t>
  </si>
  <si>
    <t>Hp 3005Pr Usb 3.0 Port Replicator</t>
  </si>
  <si>
    <t>Off: Atheros: 802.11 A/B/G/N + Bluetooth 4.0 Combo (2X2)(Margarita)</t>
  </si>
  <si>
    <t>Comm - Elitebook M</t>
  </si>
  <si>
    <t>Broadcom: 802.11 A/B/G/N (Sidecar Gps-M21)</t>
  </si>
  <si>
    <t>Off: Broadcom: 802.11 A/B/G/N (Sidecar Gps-M21)</t>
  </si>
  <si>
    <t>Elpida: 2048Mb:Lpddr2 533Mhz: Edba164B1Pf-1D-F</t>
  </si>
  <si>
    <t>Hp X4000B Bluetooth Mouse - Vera</t>
  </si>
  <si>
    <t>Hp Wireless Mouse - Alvin</t>
  </si>
  <si>
    <t>Hynix: 2048Mb:Lpddr2 533Mhz: H9Tknnnbpdmrar-Ngm</t>
  </si>
  <si>
    <t>Intel: Atom Cloverview-M Sgx545: 1.5Ghz</t>
  </si>
  <si>
    <t>Samsung: Emmc 32Gb: Mo-276: Klmbg4Ge4A-A001</t>
  </si>
  <si>
    <t>Samsung: Emmc 64Gb: Mo-276: Klmcg8Ge4A-A001</t>
  </si>
  <si>
    <t>Sandisk: Emmc 32Gb: Mo-276: Sdin5C4-32G-L</t>
  </si>
  <si>
    <t>Sandisk: Emmc 64Gb: Mo-276: Sdin5C4-64G-L</t>
  </si>
  <si>
    <t>Lgd: 10.1 Wxga Ag Wled Uwva: Lp101Wx2</t>
  </si>
  <si>
    <t>Samsung: 2048Mb:Lpddr2 533Mhz: K3Pe0E000A-Xgc2</t>
  </si>
  <si>
    <t>9/18/2012</t>
  </si>
  <si>
    <t>10/9/2012</t>
  </si>
  <si>
    <t>10/22/2012</t>
  </si>
  <si>
    <t>Initial release for 2013 platforms
Moved MS Digitial Marker - Oa3.0 from Release tab to Acceptance tab due to short test duration of
Release tab and Oa3.0 is not a release blockage
Fixed all link issues
Added a test step "DDR3 Memory Check" to Acceptance tab -  TCE Requirments</t>
  </si>
  <si>
    <t>Addeded "CHINA_TPM" test to Core tab -  Bios Security Features
Replaced FreeDos with FreeDos 2.0 since 2013 platforms preinstall FreeDos 2.0 instead of FreeDos</t>
  </si>
  <si>
    <t>Fixed Test Planning mode issue which can works correctly in this version
Updated ProjectConfigurations to 9.09 which added components that 2013 platforms support as well as platform names
Added test "Video Memory Size" into Acceptance tab</t>
  </si>
  <si>
    <t>Added test "HP UEFI variables blocked" into Acceptance tab
Added Test Cases "ACCEPTANCE -  Accelerometer (Odies)" " ACCEPTANCE -  Compass (Odies)" to 
Core tab
Moved Test Case "MS Digitial Marker - Oa3.0" from Acceptance tab to Core tab
Corrected some format issues reported by Compal</t>
  </si>
  <si>
    <t>11/9/2012</t>
  </si>
  <si>
    <t>Added test "Switchable Graphics (2013 s series - Fiji/Flores/Fraser and Python/Predator)" - Acceptance tab
Added test "Hybrid Graphics (2013 15'' and 17'' W-Series)" - Acceptance tab
Added test "Feature Byte and Build ID" - Acceptance tab
Removed TPM Preboot Enabled related test cases per BCR#106493(Hide POA Features from BIOS) - Core tab
Corrected link of test case "DDR3 Memory Check" - Acceptance tab 
Changed Matrix Version to 1.03 - Project Settings tab</t>
  </si>
  <si>
    <t>Renamed WWAN/GPS combo card test case to "WWAN Combo Card: WWAN/GPS with single or secondary RF"</t>
  </si>
  <si>
    <t>11/19/2012</t>
  </si>
  <si>
    <t>Rev 9.0A</t>
  </si>
  <si>
    <t>Country Code</t>
  </si>
  <si>
    <t>Material List Number+</t>
  </si>
  <si>
    <t>A1Y</t>
  </si>
  <si>
    <t>A2M</t>
  </si>
  <si>
    <t>A2N</t>
  </si>
  <si>
    <t>A/P</t>
  </si>
  <si>
    <t>B10</t>
  </si>
  <si>
    <t>B1L</t>
  </si>
  <si>
    <t>Hp Code</t>
  </si>
  <si>
    <t>La Merco</t>
  </si>
  <si>
    <t>Brzl</t>
  </si>
  <si>
    <t>Can/Eng</t>
  </si>
  <si>
    <t>Ab0</t>
  </si>
  <si>
    <t>Ltna</t>
  </si>
  <si>
    <t>Ab1</t>
  </si>
  <si>
    <t>Lae</t>
  </si>
  <si>
    <t>Ab2</t>
  </si>
  <si>
    <t>Adr</t>
  </si>
  <si>
    <t>Ab4</t>
  </si>
  <si>
    <t>Afrc-E</t>
  </si>
  <si>
    <t>Ab5</t>
  </si>
  <si>
    <t>Afrc-F</t>
  </si>
  <si>
    <t>Ab6</t>
  </si>
  <si>
    <t>Euroa5</t>
  </si>
  <si>
    <t>Ab7</t>
  </si>
  <si>
    <t>Arab</t>
  </si>
  <si>
    <t>Ab8</t>
  </si>
  <si>
    <t>Euroa4</t>
  </si>
  <si>
    <t>Ab9</t>
  </si>
  <si>
    <t>Bulg</t>
  </si>
  <si>
    <t>Aba</t>
  </si>
  <si>
    <t>Czech-Sl</t>
  </si>
  <si>
    <t>Abb</t>
  </si>
  <si>
    <t>Den</t>
  </si>
  <si>
    <t>Abd</t>
  </si>
  <si>
    <t>Abe</t>
  </si>
  <si>
    <t>Euroa2</t>
  </si>
  <si>
    <t>Abf</t>
  </si>
  <si>
    <t>Abg</t>
  </si>
  <si>
    <t>Abh</t>
  </si>
  <si>
    <t>Grk</t>
  </si>
  <si>
    <t>Abj</t>
  </si>
  <si>
    <t>Hung</t>
  </si>
  <si>
    <t>Abl</t>
  </si>
  <si>
    <t>Abm</t>
  </si>
  <si>
    <t>He</t>
  </si>
  <si>
    <t>Abn</t>
  </si>
  <si>
    <t>Itl</t>
  </si>
  <si>
    <t>Abt</t>
  </si>
  <si>
    <t>Abu</t>
  </si>
  <si>
    <t>Nor</t>
  </si>
  <si>
    <t>Abv</t>
  </si>
  <si>
    <t>Nwafr</t>
  </si>
  <si>
    <t>Aby</t>
  </si>
  <si>
    <t>Pol</t>
  </si>
  <si>
    <t>Abz</t>
  </si>
  <si>
    <t>Port</t>
  </si>
  <si>
    <t>Ac4</t>
  </si>
  <si>
    <t>Rom</t>
  </si>
  <si>
    <t>Ac8</t>
  </si>
  <si>
    <t>Russ</t>
  </si>
  <si>
    <t>Acb</t>
  </si>
  <si>
    <t>Sau</t>
  </si>
  <si>
    <t>Acf</t>
  </si>
  <si>
    <t>Scc</t>
  </si>
  <si>
    <t>Ach</t>
  </si>
  <si>
    <t>Acj</t>
  </si>
  <si>
    <t>Acq</t>
  </si>
  <si>
    <t>Se/Fi</t>
  </si>
  <si>
    <t>Ak8</t>
  </si>
  <si>
    <t>Swis2</t>
  </si>
  <si>
    <t>Ak9</t>
  </si>
  <si>
    <t>Turk</t>
  </si>
  <si>
    <t>Akc</t>
  </si>
  <si>
    <t>Uk</t>
  </si>
  <si>
    <t>Akd</t>
  </si>
  <si>
    <t>Asia</t>
  </si>
  <si>
    <t>Ake</t>
  </si>
  <si>
    <t>Akh</t>
  </si>
  <si>
    <t>Aust</t>
  </si>
  <si>
    <t>Akl</t>
  </si>
  <si>
    <t>Prc</t>
  </si>
  <si>
    <t>Akq</t>
  </si>
  <si>
    <t>Hk</t>
  </si>
  <si>
    <t>Aks</t>
  </si>
  <si>
    <t>Ar6</t>
  </si>
  <si>
    <t>Indo</t>
  </si>
  <si>
    <t>Jpn/Eng</t>
  </si>
  <si>
    <t>Jpn2</t>
  </si>
  <si>
    <t>Bcm</t>
  </si>
  <si>
    <t>Kor</t>
  </si>
  <si>
    <t>Bed</t>
  </si>
  <si>
    <t>Sing</t>
  </si>
  <si>
    <t>Bh4</t>
  </si>
  <si>
    <t>Bh5</t>
  </si>
  <si>
    <t>Thai</t>
  </si>
  <si>
    <t>Uuf</t>
  </si>
  <si>
    <t>Uug</t>
  </si>
  <si>
    <t>Uuw</t>
  </si>
  <si>
    <t>Uuz</t>
  </si>
  <si>
    <t>Deleted 4 duplicated Drivelock test steps - Core tab
Added link to China TPM - Core tab
Moved ZPODD (Intel/AMD) testing from Release tab to Core tab
Added USB Floppy boot testing back to Release tab since 2013 platforms continue support it
Added Wireless Manageability Control testing to Acceptance tab
Added MS ZPODD testing to Release tab
Updated Project Configuration to 9.0A
Added Enhanced Display Feature testing into Acceptance tab
Added "Flash – with Intel FPT.efi tool" and "MPM mode Enable from Windows" to 64bit OS - Release tab</t>
  </si>
  <si>
    <t>11/28/2012</t>
  </si>
  <si>
    <t>Added Thunderbolt port test into System Ports - Acceptance tab
Added Near Field Communication test into Built In Devices - Acceptance tab</t>
  </si>
  <si>
    <t>1.07</t>
    <phoneticPr fontId="37" type="noConversion"/>
  </si>
  <si>
    <t>12/12/2012</t>
    <phoneticPr fontId="37" type="noConversion"/>
  </si>
  <si>
    <t>Added HG tests for B,P,W 14" and RRR - Acceptance tab</t>
    <phoneticPr fontId="37" type="noConversion"/>
  </si>
  <si>
    <t>Added Fn Key Switch -Acceptance tab
Added mSATA boot - Acceptance tab</t>
  </si>
  <si>
    <t>Added AMD Hybrid Boost - Acceptance tab</t>
  </si>
  <si>
    <t>12/21/2012</t>
  </si>
  <si>
    <t>12/27/2012</t>
  </si>
  <si>
    <t>1/11/2013</t>
  </si>
  <si>
    <t>Added BIOS Version Quick Check to Release tab per PMs' request
Moved UEFI IPV4 and UEFI IPV6 from Core tab to Release tab per PMs' request</t>
  </si>
  <si>
    <t>1/16/2013</t>
  </si>
  <si>
    <t>Removed "Thermal action: Fan Speed Control" from Acceptance tab
Mark "Hypervisor" NP until the test case is workable for 2013 platforms - Core tab
Added "Intel Power Optimizer" into Acceptance tab</t>
  </si>
  <si>
    <t>1/25/2013</t>
  </si>
  <si>
    <t>Removed "PMC Battery Calibration (WinPVT) - Overnight" due to PMC support has been removed from 2013 platforms (OBS#914772)
Added "Network Connectivity in OS" into Release tab per Rajesh's request</t>
  </si>
  <si>
    <t>Added link to SED Opal Support - Core tab
Removed all Computrace test cases from Acceptance and Core tabs and merge all as one test case in Acceptance since the test procedure is merged as one
Added Boot Block Recovery - Racer/RRR only into Acceptance tab
Added How to Flash document verification into Release tab per Lamb, Donald's request</t>
  </si>
  <si>
    <t>2/19/2013</t>
  </si>
  <si>
    <t>1/29/2013</t>
  </si>
  <si>
    <t>Added Intel Smart Connect Technology - Acceptance tab</t>
  </si>
  <si>
    <t>3/1/2013</t>
  </si>
  <si>
    <t>Added Firebird and Stratus critical tests into Acceptance and Core tabs
Added ISCT Long Run to Full tab
Added TBT test into Acceptance tab</t>
  </si>
  <si>
    <t>3/15/2013</t>
  </si>
  <si>
    <t>Added several Firebird tests into Release tab
  - FB - Bios Downgrade using HPQFlash in Delay Mode
  - FB - Bios Upgrade using HPQFlash in Non-Delay Mode
  - FB - BB Recovery Time – BIOS Update Time Check HP Update BIOS FLASH Time Check with Unlock Auto mode
Moved other Firebird and Stratus tests into platform test plan
Moved Fn Key Switch/Coputrace from Acceptance to Core tab</t>
  </si>
  <si>
    <t>3/28/2013</t>
  </si>
  <si>
    <t>Rename FB tests to add core test case number as the prefix for easy sync up
Added link to F10/F1 - System Information - Acceptance Tab
Added link to Enhanced Display Feature - Acceptance Tab
Removed "Thermal action: Fan Speed Control" from Acceptance Tab
Added link to F1 -System Information - Acceptance Tab
Added link to Microcode Update - Acceptance Tab
Added link to Switchable Graphics (2013 s series - Fiji/Flores/Fraser and Python/Predator - Acceptance Tab
Added link to Verify System Default Settings (WinPVT) - Full Tab
Added link to Fn Key Switch - Core Tab
Added link to Deep Sleep - Core Tab
Removed "Bios Crisis Recovery With A Corrupted Signature File" from Acceptance Tab
Removed "Power Monitor Circuit - Power Assistant 2.0" from Core Tab
Corrected link Checking AMT/ME version (supported platforms) - Release Tab</t>
  </si>
  <si>
    <t>Swift li</t>
  </si>
  <si>
    <t>4/11/2013</t>
  </si>
  <si>
    <t xml:space="preserve">Added several Firebird and Stratus tests into Core tab
  - FB - BIOS F10 setting for HP Hypervisor Secure Boot
  - FB - HP Hypervisor Secure Boot feature using BCU
</t>
  </si>
  <si>
    <t xml:space="preserve"> FB:</t>
  </si>
  <si>
    <t>{2013-04-26 17:18:55|*|*|SVT_TESTER|*|X|*|*||}</t>
  </si>
  <si>
    <t>{2013-04-26 17:18:59|*|*|SVT_TESTER|*|X|*|*||}</t>
  </si>
  <si>
    <t>{2013-04-26 17:19:23|*|*|SVT_TESTER|*|X|*|*||}</t>
  </si>
  <si>
    <t>{2013-04-26 17:19:25|*|*|SVT_TESTER|*|X|*|*||}</t>
  </si>
  <si>
    <t>{2013-04-26 17:19:33|*|*|SVT_TESTER|*|X|*|*||}</t>
  </si>
  <si>
    <t>{2013-04-26 17:19:36|*|*|SVT_TESTER|*|X|*|*||}</t>
  </si>
  <si>
    <t>{2013-04-26 17:19:43|*|*|SVT_TESTER|*|X|*|*||}</t>
  </si>
  <si>
    <t>{2013-04-26 17:19:51|*|*|SVT_TESTER|*|X|*|*||}</t>
  </si>
  <si>
    <t>{2013-04-26 17:24:14|*|*|SVT_TESTER|*|X|*|*||}</t>
  </si>
  <si>
    <t>{2013-04-26 17:24:17|*|*|SVT_TESTER|*|X|*|*||}</t>
  </si>
  <si>
    <t>{2013-04-26 17:24:20|*|*|SVT_TESTER|*|X|*|*||}</t>
  </si>
  <si>
    <t>{2013-04-26 17:24:22|*|*|SVT_TESTER|*|X|*|*||}</t>
  </si>
  <si>
    <t>{2013-04-26 17:24:28|*|*|SVT_TESTER|*|X|*|*||}</t>
  </si>
  <si>
    <t>{2013-04-26 17:24:30|*|*|SVT_TESTER|*|X|*|*||}</t>
  </si>
  <si>
    <t>{2013-04-26 17:24:34|*|*|SVT_TESTER|*|X|*|*||}</t>
  </si>
  <si>
    <t>{2013-04-26 17:24:35|*|*|SVT_TESTER|*|X|*|*||}</t>
  </si>
  <si>
    <t>{2013-04-26 17:24:38|*|*|SVT_TESTER|*|X|*|*||}</t>
  </si>
  <si>
    <t>Added Connected Bios #01 - Enabling and Disabling (Allow BIOS Updates via Network) Feature into Release tab per Core Bios team's request
Added Disable LID switch support (BCR # 112346) into Acceptance tab
Moved Bluetooth,WWAN,Carmera,Fingerprint sensor, Smart Card reader from Acceptance tab to Release tab per Johnny's request
Updated FB BIOS update tests in Release tab to sync up the changes from Core Bios test plan
Merged ZPOD test case for Intel and AMD platform together and moved from Core tab to Acceptance tab
Added "Normal Updates #02 - BIOS Normal Update from HP.com with proxy step1-11" into pre-release tab per Rajesh's request
Updated FB tests in Release tab per Core Bios test plan release notice of 4/25
Added checking PCR[00] in Release tab
Added RTD3 support for Realtek card reader in Acceptance tab</t>
  </si>
  <si>
    <t>Stratus</t>
  </si>
  <si>
    <t>Modified Stratus Bios update to follow How to Flash document in Release tab</t>
  </si>
  <si>
    <t>Removed "Normal Bios #01 - Enabling and Disabling (Allow BIOS Updates via Network) Feature" from Release tab
Added the Stratus Bios downgrade test into the Release tab</t>
  </si>
  <si>
    <t>5/17/2013</t>
  </si>
  <si>
    <t>5/10/2013</t>
  </si>
  <si>
    <t>4/26/2013</t>
  </si>
  <si>
    <t>5/24/2013</t>
  </si>
  <si>
    <t>Added File validation for BIOS Package into Release tab per Rajesh's request
Moved Boot Block Recovery - Racer/RRR/Cyclone only to Core tab and added the support to Cyclone
Added Boot Block Recovery - Thriller only into Core tab</t>
  </si>
  <si>
    <t>{06-14-2013 13:37:08|*|*|SVT_TESTER|*|X|*|*||}</t>
  </si>
  <si>
    <t>{06-14-2013 13:37:10|*|*|SVT_TESTER|*|X|*|*||}</t>
  </si>
  <si>
    <t>{06-14-2013 13:37:14|*|*|SVT_TESTER|*|X|*|*||}</t>
  </si>
  <si>
    <t>{06-14-2013 13:37:17|*|*|SVT_TESTER|*|X|*|*||}</t>
  </si>
  <si>
    <t>{06-14-2013 13:37:19|*|*|SVT_TESTER|*|X|*|*||}</t>
  </si>
  <si>
    <t>Add Breathing LED test in the Full tab per Johnny's request
Removed Flash: Microcode Update from Acceptance tab since the support has been dropped 
Sepearte test "WWAN Combo Card: WWAN/GPS with secondary RF" per BCR 114014 - Separate option for GPS in Core tab</t>
  </si>
  <si>
    <t>6/23/2013</t>
  </si>
  <si>
    <t>6/28/2013</t>
  </si>
  <si>
    <t>Added 2 RTC wake up tests per BCR#15030 - wake up from RTC support for S3, S4 and S5 on DC mode</t>
  </si>
  <si>
    <t>Sync up with test procedure v1.25</t>
  </si>
  <si>
    <t>7/12/2013</t>
  </si>
  <si>
    <t>7/05/2013</t>
  </si>
  <si>
    <t>1.27</t>
  </si>
  <si>
    <t>7/19/2013</t>
  </si>
  <si>
    <t>Sync up with test procedure v1.27</t>
  </si>
  <si>
    <t>{07-24-2013 17:44:01|*|*|SVT_TESTER|*|X|*|*||}</t>
  </si>
  <si>
    <t>1.28</t>
  </si>
  <si>
    <t>7/26/2013</t>
  </si>
  <si>
    <t>Added Win8.1 test case in Core tab.</t>
  </si>
  <si>
    <t xml:space="preserve">Created a new tab - Official Sign Key.
Moved below test case to Official Sign Key tab.
   -HPBIOSUPDREC - Downgrade from F series to B series (PV or later) 
   -SPI Lock Protection test - for any F series.
   -Bios Recovery Deliverable.
   -AMD-NIST-SPI Control Register and Restricted Command.
   -Intel - NIST -TC01 Control Registers.
   -Intel - NIST -BIOS Control Register.
   -Flash HPBIOSUPDREC (Upgrade from Last Customer-Rel Bios, F-series BIOS).
Added "Core Test SPI SMRR – BIOS Write Enable Bit and SMRR test after BIOS Lock(Code Freeze) with Unlock Auto mode " into Official Sign Key tab.
</t>
  </si>
  <si>
    <t>1.29</t>
  </si>
  <si>
    <t>8/2/2013</t>
  </si>
  <si>
    <t>Official Signed Bios</t>
  </si>
  <si>
    <t>FB:</t>
  </si>
  <si>
    <t>Renamed tab from "Official Sign Key" to Official Signed Bios" 
Added a test case "Turbo Boost support while on DC" into Acceptance (3 days) tab
Added a test case "Core Test Full Flash test with MPM mode – BIOS Write Enable test  with MPM Unlock and Lock on Auto/Unlock/AC"
Removed the test case "HPBIOSUPDREC - Downgrade from F series to B series (PV or later)" from the "Official Signed Bios" tab since the support has been dropped.
Removed test case “ACCEPTANCE – NIST- BIOS Control Register” from the  "Official Signed Bios" tab since WINPVT developer has already added the test case in WINPVT test..
Renamed below test case from F.XX to Officail Signed Bios in the "Official Signed Bios" tab.
  -Flash HPBIOSUPDREC (Upgrade From Last Customer-Rel Bios, Official Signed BIOS).
  -SPI Lock Protection test - for any Official Signed Bios</t>
  </si>
  <si>
    <t>1.30</t>
  </si>
  <si>
    <t>8/8/2013</t>
  </si>
  <si>
    <t>Sync up with test procedure v1.30</t>
  </si>
  <si>
    <t>1.31</t>
  </si>
  <si>
    <t>8/16/2013</t>
  </si>
  <si>
    <t>Added several Firebird tests into Core tab
   -01 - CFN - Pending BIOS Update testing with HW Encrypted SED HDD
   -02 - CFN - Performing_F11_Recovery_after_Warm_boot_with_HW_Encrypted_SED_HDD</t>
  </si>
  <si>
    <t>1.32</t>
  </si>
  <si>
    <t>8/21/2013</t>
  </si>
  <si>
    <t xml:space="preserve">Added a test case "Smart Card Reader Power Savings Mode (Enable/Disable) " into Acceptance (3 days) tab. </t>
  </si>
  <si>
    <t>1.33</t>
  </si>
  <si>
    <t>8/30/2013</t>
  </si>
  <si>
    <t>Sync up with test procedure v1.33</t>
  </si>
  <si>
    <t>1.34</t>
  </si>
  <si>
    <t>9/6/2013</t>
  </si>
  <si>
    <t>Added a test case "Disable and Remove the Optimums hybrid graphics feature from F10 with BCU tool (for BCR# 118885)" into Acceptance (3 days) tab.</t>
  </si>
  <si>
    <t>1.35</t>
  </si>
  <si>
    <t>9/22/2013</t>
  </si>
  <si>
    <t>Sync up with test procedure v1.35</t>
  </si>
  <si>
    <t>1.36</t>
  </si>
  <si>
    <t>9/27/2014</t>
  </si>
  <si>
    <t>Added a test case "DIMM Slots Swap Check" into core tab.</t>
  </si>
  <si>
    <t>1.37</t>
  </si>
  <si>
    <t>10/12/2014</t>
  </si>
  <si>
    <t>Added a test case "Touch Screen support in HP Drive Encryption pre-boot environment" into core tab.</t>
  </si>
  <si>
    <t>1.38</t>
  </si>
  <si>
    <t>Part 1</t>
  </si>
  <si>
    <t>Part 2</t>
  </si>
  <si>
    <t>10/16/2013</t>
  </si>
  <si>
    <r>
      <rPr>
        <b/>
        <sz val="11"/>
        <rFont val="Arial"/>
        <family val="2"/>
      </rPr>
      <t>Notes:</t>
    </r>
    <r>
      <rPr>
        <b/>
        <sz val="10"/>
        <rFont val="Arial"/>
        <family val="2"/>
      </rPr>
      <t xml:space="preserve">
A). The release test is split into part 1 and part 2 because of the new official signed Bios release process.
B). Before the Bios is official signed, the release test including the two parts needs to be completed within 4 hours in one time.
C). When Bios is preparing official sign, the part 1 as below needs to be completed on Bios with test key within 2 hours and the part 2 needs to be completed on Bios with production test key is released within another 2 hours </t>
    </r>
  </si>
  <si>
    <t>Split the release test into part 1 and part 2 according to the new official signed bios release process strategy.
Added a test case "Updating Sensor Hub firmware.  (Only for the supported platforms)" into Core tab.</t>
  </si>
  <si>
    <t>{07-15-2013 14:30:18|*|*|SVT_TESTER|*|X|*|*||}</t>
  </si>
  <si>
    <t>1.39</t>
  </si>
  <si>
    <t>10/25/2013</t>
  </si>
  <si>
    <t xml:space="preserve">Added a test case "Keyboard Scan Code check via WinPVT (Orbitz only)" into Acceptance (3 days) tab.
</t>
  </si>
  <si>
    <t>1.40</t>
  </si>
  <si>
    <t>11/01/2013</t>
  </si>
  <si>
    <t>Corrected the wrong link issue for "Fn Key switch".</t>
  </si>
  <si>
    <t>Orbitzm02U01</t>
  </si>
  <si>
    <t>Sharkbay</t>
  </si>
  <si>
    <t>I5-4200U 1.6-Ghz</t>
  </si>
  <si>
    <t>4Gb 1600Mhz 1.35V Ddr3L 512Mx8 Memory Icmt41K512M8Rh-125:E</t>
  </si>
  <si>
    <t>Ssd 128Gb 2280 M2 Sata-3Sd6Sn1M-128G-1006</t>
  </si>
  <si>
    <t>Intel 802.11 2X2 A/B/G/N + Bt 4.0 Hs Combo (Wilkins Peak 2 7260An) Mm#923258</t>
  </si>
  <si>
    <t>Wwan Huawei Wrangler Mu736 Hspa+ W/Gps Ngff</t>
  </si>
  <si>
    <t>Hightek</t>
  </si>
  <si>
    <t>Sharkbay</t>
    <phoneticPr fontId="37" type="noConversion"/>
  </si>
  <si>
    <t>Intel 802.11 2X2 A/B/G/N + Bt 4.0 Hs Combo (Wilkins Peak 2 7260An) Mm#923258</t>
    <phoneticPr fontId="37" type="noConversion"/>
  </si>
  <si>
    <t>Intel 802.11 2X2 A/B/G/N + Bt 4.0 Hs Combo (Wilkins Peak 2 7260An) Mm#923258</t>
    <phoneticPr fontId="37" type="noConversion"/>
  </si>
  <si>
    <t>Full 1730</t>
  </si>
  <si>
    <t>Full 1730</t>
    <phoneticPr fontId="38" type="noConversion"/>
  </si>
  <si>
    <t>Full 1730</t>
    <phoneticPr fontId="37" type="noConversion"/>
  </si>
  <si>
    <t>Orbitzm02U01</t>
    <phoneticPr fontId="37" type="noConversion"/>
  </si>
  <si>
    <t>CFG201</t>
  </si>
  <si>
    <t>Unit Id</t>
  </si>
  <si>
    <t>Processor</t>
  </si>
  <si>
    <t>Display Panel</t>
  </si>
  <si>
    <t>Memory Slot 1</t>
  </si>
  <si>
    <t>Memory Slot 2</t>
  </si>
  <si>
    <t>Memory Slot 3</t>
  </si>
  <si>
    <t>Memory Slot 4</t>
  </si>
  <si>
    <t>Hard Drive</t>
  </si>
  <si>
    <t>Wireless Lan</t>
  </si>
  <si>
    <t>Wireless Wan</t>
  </si>
  <si>
    <t>Camera</t>
  </si>
  <si>
    <t>Unit Upgrade Bay Device</t>
  </si>
  <si>
    <t>Dock Type</t>
  </si>
  <si>
    <t>Dock Bay Device</t>
  </si>
  <si>
    <t>Unit Battery</t>
  </si>
  <si>
    <t>Travel Battery</t>
  </si>
  <si>
    <t>CFG202</t>
  </si>
  <si>
    <t>System Bios</t>
  </si>
  <si>
    <t>Kbc</t>
  </si>
  <si>
    <t>Me Version</t>
  </si>
  <si>
    <t>{2013-04-26 17:18:49|*|*|SVT_TESTER|*|X|*|*||}{2013-11-06 09:18:01|CFG201|CFG202|SVT_TESTER|PV-1|P|English|Pre OS||}</t>
    <phoneticPr fontId="37" type="noConversion"/>
  </si>
  <si>
    <t>{2013-04-26 17:18:49|*|*|SVT_TESTER|*|X|*|*||}{2013-11-06 09:52:15|CFG201|CFG202|SVT_TESTER|PV-1|P|English|Pre OS||}</t>
    <phoneticPr fontId="37" type="noConversion"/>
  </si>
  <si>
    <t>{2013-04-26 17:18:49|*|*|SVT_TESTER|*|X|*|*||}{2013-11-06 09:52:21|CFG201|CFG202|SVT_TESTER|PV-1|P|English|Win8 Pro (64)||}</t>
    <phoneticPr fontId="37" type="noConversion"/>
  </si>
  <si>
    <t>{2013-04-26 17:18:49|*|*|SVT_TESTER|*|X|*|*||}{2013-11-06 09:57:35|CFG201|CFG202|SVT_TESTER|PV-1|NA|English|Pre OS||Not support E-sata}</t>
    <phoneticPr fontId="37" type="noConversion"/>
  </si>
  <si>
    <t>{2013-04-26 17:18:49|*|*|SVT_TESTER|*|X|*|*||}{2013-11-06 09:57:35|CFG201|CFG202|SVT_TESTER|PV-1|NA|English|Pre OS||Not support 2nd HD}</t>
    <phoneticPr fontId="37" type="noConversion"/>
  </si>
  <si>
    <t>{2013-04-26 17:18:49|*|*|SVT_TESTER|*|X|*|*||}{2013-11-06 09:57:50|CFG201|CFG202|SVT_TESTER|PV-1|P|English|Pre OS||}</t>
    <phoneticPr fontId="37" type="noConversion"/>
  </si>
  <si>
    <t>{2013-04-26 17:18:49|*|*|SVT_TESTER|*|X|*|*||}{2013-11-06 09:57:57|CFG201|CFG202|SVT_TESTER|PV-1|P|English|Pre OS||}</t>
    <phoneticPr fontId="37" type="noConversion"/>
  </si>
  <si>
    <t>{2013-04-26 17:18:49|*|*|SVT_TESTER|*|X|*|*||}{2013-11-06 09:58:00|CFG201|CFG202|SVT_TESTER|PV-1|P|English|Pre OS||}</t>
    <phoneticPr fontId="37" type="noConversion"/>
  </si>
  <si>
    <t>{2013-04-26 17:18:49|*|*|SVT_TESTER|*|X|*|*||}{2013-11-06 09:59:09|CFG201|CFG202|SVT_TESTER|PV-1|P|English|Pre OS||}</t>
    <phoneticPr fontId="37" type="noConversion"/>
  </si>
  <si>
    <t>{2013-04-26 17:18:49|*|*|SVT_TESTER|*|X|*|*||}{2013-11-06 10:07:58|CFG201|CFG202|SVT_TESTER|PV-1|P|English|Win8 Pro (64)||}</t>
    <phoneticPr fontId="37" type="noConversion"/>
  </si>
  <si>
    <t>{2013-04-26 17:18:49|*|*|SVT_TESTER|*|X|*|*||}{2013-11-06 10:18:24|CFG201|CFG202|SVT_TESTER|PV-1|F|English|Win8 Pro (64)||990220}</t>
    <phoneticPr fontId="37" type="noConversion"/>
  </si>
  <si>
    <t>{2013-04-26 17:18:49|*|*|SVT_TESTER|*|X|*|*||}{2013-11-06 10:19:50|CFG201|CFG202|SVT_TESTER|PV-1|P|English|Win8 Pro (64)||}</t>
    <phoneticPr fontId="37" type="noConversion"/>
  </si>
  <si>
    <t>Win8 Pro (64)</t>
    <phoneticPr fontId="37" type="noConversion"/>
  </si>
  <si>
    <t>{2013-04-26 17:18:54|*|*|SVT_TESTER|*|X|*|*||}{2013-11-06 10:35:09|CFG201|CFG202|SVT_TESTER|PV-1|NA|English|Win8 Pro (64)||Win8.1 not support 32bit .}</t>
    <phoneticPr fontId="37" type="noConversion"/>
  </si>
  <si>
    <t>{2013-04-26 17:18:54|*|*|SVT_TESTER|*|X|*|*||}{2013-11-06 10:35:18|CFG201|CFG202|SVT_TESTER|PV-1|NA|English|Win8 Pro (64)||Win8.1 not support 32bit .}</t>
    <phoneticPr fontId="37" type="noConversion"/>
  </si>
  <si>
    <t>{2013-04-26 17:18:55|*|*|SVT_TESTER|*|X|*|*||}{2013-11-06 10:35:18|CFG201|CFG202|SVT_TESTER|PV-1|NA|English|Win8 Pro (64)||Win8.1 not support 32bit .}</t>
    <phoneticPr fontId="37" type="noConversion"/>
  </si>
  <si>
    <t>{2013-04-26 17:18:49|*|*|SVT_TESTER|*|X|*|*||}{2013-11-06 10:55:05|CFG201|CFG202|SVT_TESTER|PV-1|P|English|Pre OS||}</t>
    <phoneticPr fontId="37" type="noConversion"/>
  </si>
  <si>
    <t>{2013-04-26 17:18:49|*|*|SVT_TESTER|*|X|*|*||}{2013-11-06 11:01:32|CFG201|CFG202|SVT_TESTER|PV-1|P|English|Win8 Pro (64)||}</t>
    <phoneticPr fontId="37" type="noConversion"/>
  </si>
  <si>
    <t>{2013-04-26 17:18:55|*|*|SVT_TESTER|*|X|*|*||}{2013-11-06 13:11:36|CFG201|CFG202|SVT_TESTER|PV-1|P|English|Win8 Pro (64)||}</t>
    <phoneticPr fontId="37" type="noConversion"/>
  </si>
  <si>
    <t>{2013-04-26 17:18:55|*|*|SVT_TESTER|*|X|*|*||}{2013-11-06 13:11:39|CFG201|CFG202|SVT_TESTER|PV-1|P|English|Win8 Pro (64)||}</t>
    <phoneticPr fontId="37" type="noConversion"/>
  </si>
  <si>
    <t>{2013-04-26 17:18:59|*|*|SVT_TESTER|*|X|*|*||}{2013-11-06 13:11:58|CFG201|CFG202|SVT_TESTER|PV-1|P|English|Win8 Pro (64)||}</t>
    <phoneticPr fontId="37" type="noConversion"/>
  </si>
  <si>
    <t>{2013-04-26 17:18:59|*|*|SVT_TESTER|*|X|*|*||}{2013-11-06 13:11:59|CFG201|CFG202|SVT_TESTER|PV-1|P|English|Win8 Pro (64)||}</t>
    <phoneticPr fontId="37" type="noConversion"/>
  </si>
  <si>
    <t>{2013-04-26 17:18:59|*|*|SVT_TESTER|*|X|*|*||}{2013-11-06 13:12:00|CFG201|CFG202|SVT_TESTER|PV-1|P|English|Win8 Pro (64)||}</t>
    <phoneticPr fontId="37" type="noConversion"/>
  </si>
  <si>
    <t>{2013-04-26 17:18:59|*|*|SVT_TESTER|*|X|*|*||}{2013-11-06 13:12:02|CFG201|CFG202|SVT_TESTER|PV-1|P|English|Win8 Pro (64)||}</t>
    <phoneticPr fontId="37" type="noConversion"/>
  </si>
  <si>
    <t>{2013-04-26 17:18:59|*|*|SVT_TESTER|*|X|*|*||}{2013-11-06 13:12:12|CFG201|CFG202|SVT_TESTER|PV-1|P|English|Win8 Pro (64)||}</t>
    <phoneticPr fontId="37" type="noConversion"/>
  </si>
  <si>
    <t>{2013-04-26 17:18:59|*|*|SVT_TESTER|*|X|*|*||}{2013-11-06 13:12:13|CFG201|CFG202|SVT_TESTER|PV-1|P|English|Win8 Pro (64)||}</t>
    <phoneticPr fontId="37" type="noConversion"/>
  </si>
  <si>
    <t>{2013-04-26 17:18:59|*|*|SVT_TESTER|*|X|*|*||}{2013-11-06 13:12:14|CFG201|CFG202|SVT_TESTER|PV-1|P|English|Win8 Pro (64)||}</t>
    <phoneticPr fontId="37" type="noConversion"/>
  </si>
  <si>
    <t>{2013-04-26 17:18:59|*|*|SVT_TESTER|*|X|*|*||}{2013-11-06 13:12:16|CFG201|CFG202|SVT_TESTER|PV-1|P|English|Win8 Pro (64)||}</t>
    <phoneticPr fontId="37" type="noConversion"/>
  </si>
  <si>
    <t>{2013-04-26 17:18:59|*|*|SVT_TESTER|*|X|*|*||}{2013-11-06 13:12:47|CFG201|CFG202|SVT_TESTER|PV-1|NA|English|Win8 Pro (64)||No F-series Bios}</t>
    <phoneticPr fontId="37" type="noConversion"/>
  </si>
  <si>
    <t>{2013-04-26 17:18:59|*|*|SVT_TESTER|*|X|*|*||}{2013-11-06 13:13:16|CFG201|CFG202|SVT_TESTER|PV-1|NA|English|Win8 Pro (64)||Start from PV}</t>
    <phoneticPr fontId="37" type="noConversion"/>
  </si>
  <si>
    <t>{2013-04-26 17:18:59|*|*|SVT_TESTER|*|X|*|*||}{2013-11-06 13:13:33|CFG201|CFG202|SVT_TESTER|PV-1|P|English|Win8 Pro (64)||}</t>
    <phoneticPr fontId="37" type="noConversion"/>
  </si>
  <si>
    <t>{2013-04-26 17:18:59|*|*|SVT_TESTER|*|X|*|*||}{2013-11-06 13:13:34|CFG201|CFG202|SVT_TESTER|PV-1|P|English|Win8 Pro (64)||}</t>
    <phoneticPr fontId="37" type="noConversion"/>
  </si>
  <si>
    <t>{2013-04-26 17:18:59|*|*|SVT_TESTER|*|X|*|*||}{2013-11-06 13:16:14|CFG201|CFG202|SVT_TESTER|PV-1|P|English|Win8 Pro (64)||}</t>
    <phoneticPr fontId="37" type="noConversion"/>
  </si>
  <si>
    <t>{2013-04-26 17:18:59|*|*|SVT_TESTER|*|X|*|*||}{2013-11-06 13:16:17|CFG201|CFG202|SVT_TESTER|PV-1|P|English|Win8 Pro (64)||}</t>
    <phoneticPr fontId="37" type="noConversion"/>
  </si>
  <si>
    <t>{2013-04-26 17:18:59|*|*|SVT_TESTER|*|X|*|*||}{2013-11-06 13:16:18|CFG201|CFG202|SVT_TESTER|PV-1|P|English|Win8 Pro (64)||}</t>
    <phoneticPr fontId="37" type="noConversion"/>
  </si>
  <si>
    <t>{2013-04-26 17:18:59|*|*|SVT_TESTER|*|X|*|*||}{2013-11-06 13:16:20|CFG201|CFG202|SVT_TESTER|PV-1|P|English|Win8 Pro (64)||}</t>
    <phoneticPr fontId="37" type="noConversion"/>
  </si>
  <si>
    <t>{2013-04-26 17:18:59|*|*|SVT_TESTER|*|X|*|*||}{2013-11-06 13:16:21|CFG201|CFG202|SVT_TESTER|PV-1|P|English|Win8 Pro (64)||}</t>
    <phoneticPr fontId="37" type="noConversion"/>
  </si>
  <si>
    <t>{2013-04-26 17:18:52|*|*|SVT_TESTER|*|X|*|*||}{2013-11-06 13:16:31|CFG201|CFG202|SVT_TESTER|PV-1|P|English|FreeDOS||}</t>
    <phoneticPr fontId="37" type="noConversion"/>
  </si>
  <si>
    <t>{2013-04-26 17:18:52|*|*|SVT_TESTER|*|X|*|*||}{2013-11-06 13:16:34|CFG201|CFG202|SVT_TESTER|PV-1|P|English|FreeDOS||}</t>
    <phoneticPr fontId="37" type="noConversion"/>
  </si>
  <si>
    <t>{2013-04-26 17:18:52|*|*|SVT_TESTER|*|X|*|*||}{2013-11-06 13:16:59|CFG201|CFG202|SVT_TESTER|PV-1|NA|English|Win8 Pro (64)||This is B-series Bios}</t>
    <phoneticPr fontId="37" type="noConversion"/>
  </si>
  <si>
    <t>{2013-04-26 17:18:59|*|*|SVT_TESTER|*|X|*|*||}{2013-11-06 13:17:57|CFG201|CFG202|SVT_TESTER|PV-1|P|English|Win8 Pro (64)||}</t>
    <phoneticPr fontId="37" type="noConversion"/>
  </si>
  <si>
    <t>{2013-04-26 17:18:59|*|*|SVT_TESTER|*|X|*|*||}{2013-11-06 13:17:58|CFG201|CFG202|SVT_TESTER|PV-1|P|English|Win8 Pro (64)||}</t>
    <phoneticPr fontId="37" type="noConversion"/>
  </si>
  <si>
    <t>{2013-04-26 17:18:55|*|*|SVT_TESTER|*|X|*|*||}{2013-11-06 13:42:47|CFG201|CFG202|SVT_TESTER|PV-1|NA|English|Win8 Pro (64)||Not support Win8.1 32bit}</t>
    <phoneticPr fontId="37" type="noConversion"/>
  </si>
  <si>
    <t>{2013-04-26 17:18:55|*|*|SVT_TESTER|*|X|*|*||}{2013-11-06 13:43:02|CFG201|CFG202|SVT_TESTER|PV-1|NA|English|Win8 Pro (64)||Not support Win8.1 32bit}</t>
    <phoneticPr fontId="37" type="noConversion"/>
  </si>
  <si>
    <t>{2013-04-26 17:18:59|*|*|SVT_TESTER|*|X|*|*||}{2013-11-06 13:43:17|CFG201|CFG202|SVT_TESTER|PV-1|P|English|Win8 Pro (64)||}</t>
    <phoneticPr fontId="37" type="noConversion"/>
  </si>
  <si>
    <t>{2013-04-26 17:18:59|*|*|SVT_TESTER|*|X|*|*||}{2013-11-06 13:43:33|CFG201|CFG202|SVT_TESTER|PV-1|NA|English|Win8 Pro (64)||Not support FPT}</t>
    <phoneticPr fontId="37" type="noConversion"/>
  </si>
  <si>
    <t>{2013-04-26 17:18:59|*|*|SVT_TESTER|*|X|*|*||}{2013-11-06 13:44:31|CFG201|CFG202|SVT_TESTER|PV-1|NA|English|Win8 Pro (64)||Not support Smart Card}</t>
    <phoneticPr fontId="37" type="noConversion"/>
  </si>
  <si>
    <t>{2013-04-26 17:18:59|*|*|SVT_TESTER|*|X|*|*||}{2013-11-06 13:44:34|CFG201|CFG202|SVT_TESTER|PV-1|P|English|Win8 Pro (64)||}</t>
    <phoneticPr fontId="37" type="noConversion"/>
  </si>
  <si>
    <t>{2013-04-26 17:18:59|*|*|SVT_TESTER|*|X|*|*||}{2013-11-06 13:44:36|CFG201|CFG202|SVT_TESTER|PV-1|P|English|Win8 Pro (64)||}</t>
    <phoneticPr fontId="37" type="noConversion"/>
  </si>
  <si>
    <t>{2013-04-26 17:18:59|*|*|SVT_TESTER|*|X|*|*||}{2013-11-06 13:44:37|CFG201|CFG202|SVT_TESTER|PV-1|P|English|Win8 Pro (64)||}</t>
    <phoneticPr fontId="37" type="noConversion"/>
  </si>
  <si>
    <t>{2013-04-26 17:18:59|*|*|SVT_TESTER|*|X|*|*||}{2013-11-06 13:44:59|CFG201|CFG202|SVT_TESTER|PV-1|NA|English|Win8 Pro (64)||Not support ODD}</t>
    <phoneticPr fontId="37" type="noConversion"/>
  </si>
  <si>
    <t>{2013-04-26 17:18:59|*|*|SVT_TESTER|*|X|*|*||}{2013-11-06 13:45:48|CFG201|CFG202|SVT_TESTER|PV-1|P|English|Win8 Pro (64)||}</t>
    <phoneticPr fontId="37" type="noConversion"/>
  </si>
  <si>
    <t>{08-02-2013 20:44:08|*|*|SVT_TESTER|*|X|*|*||}{2013-11-06 13:45:50|CFG201|CFG202|SVT_TESTER|PV-1|P|English|Win8 Pro (64)||}</t>
    <phoneticPr fontId="37" type="noConversion"/>
  </si>
  <si>
    <t>{08-02-2013 20:42:53|*|*|SVT_TESTER|*|X|*|*||}{2013-11-06 13:45:51|CFG201|CFG202|SVT_TESTER|PV-1|P|English|Win8 Pro (64)||}</t>
    <phoneticPr fontId="37" type="noConversion"/>
  </si>
  <si>
    <t>{2013-04-26 17:18:59|*|*|SVT_TESTER|*|X|*|*||}{2013-11-06 13:45:55|CFG201|CFG202|SVT_TESTER|PV-1|P|English|Win8 Pro (64)||}</t>
    <phoneticPr fontId="37" type="noConversion"/>
  </si>
  <si>
    <t>{2013-04-26 17:18:59|*|*|SVT_TESTER|*|X|*|*||}{2013-11-06 13:47:50|CFG201|CFG202|SVT_TESTER|PV-1|P|English|Win8 Pro (64)||}</t>
    <phoneticPr fontId="37" type="noConversion"/>
  </si>
  <si>
    <t>{2013-04-26 17:18:59|*|*|SVT_TESTER|*|X|*|*||}{2013-11-06 13:47:53|CFG201|CFG202|SVT_TESTER|PV-1|P|English|Win8 Pro (64)||}</t>
    <phoneticPr fontId="37" type="noConversion"/>
  </si>
  <si>
    <t>{2013-04-26 17:18:59|*|*|SVT_TESTER|*|X|*|*||}{2013-11-06 13:47:54|CFG201|CFG202|SVT_TESTER|PV-1|P|English|Win8 Pro (64)||}</t>
    <phoneticPr fontId="37" type="noConversion"/>
  </si>
  <si>
    <t>{2013-04-26 17:18:59|*|*|SVT_TESTER|*|X|*|*||}{2013-11-06 13:47:56|CFG201|CFG202|SVT_TESTER|PV-1|P|English|Win8 Pro (64)||}</t>
    <phoneticPr fontId="37" type="noConversion"/>
  </si>
  <si>
    <t>{2013-04-26 17:18:59|*|*|SVT_TESTER|*|X|*|*||}{2013-11-06 13:47:57|CFG201|CFG202|SVT_TESTER|PV-1|P|English|Win8 Pro (64)||}</t>
    <phoneticPr fontId="37" type="noConversion"/>
  </si>
  <si>
    <t>{2013-04-26 17:18:59|*|*|SVT_TESTER|*|X|*|*||}{2013-11-06 13:53:01|CFG201|CFG202|SVT_TESTER|PV-1|P|English|Win8 Pro (64)||}</t>
    <phoneticPr fontId="37" type="noConversion"/>
  </si>
  <si>
    <t>{2013-04-26 17:18:59|*|*|SVT_TESTER|*|X|*|*||}{2013-11-06 13:56:20|CFG201|CFG202|SVT_TESTER|PV-1|P|English|Win8 Pro (64)||}</t>
    <phoneticPr fontId="37" type="noConversion"/>
  </si>
  <si>
    <t>{2013-04-26 17:18:59|*|*|SVT_TESTER|*|X|*|*||}{2013-11-06 13:58:14|CFG201|CFG202|SVT_TESTER|PV-1|P|English|Win8 Pro (64)||}</t>
    <phoneticPr fontId="37" type="noConversion"/>
  </si>
  <si>
    <t>{2013-04-26 17:18:52|*|*|SVT_TESTER|*|X|*|*||}{2013-11-06 13:58:21|CFG201|CFG202|SVT_TESTER|PV-1|P|English|FreeDOS||}</t>
    <phoneticPr fontId="37" type="noConversion"/>
  </si>
  <si>
    <t>{2013-04-26 17:18:52|*|*|SVT_TESTER|*|X|*|*||}{2013-11-06 13:58:52|CFG201|CFG202|SVT_TESTER|PV-1|F|English|FreeDOS||}</t>
    <phoneticPr fontId="37" type="noConversion"/>
  </si>
  <si>
    <t>{2013-04-26 17:18:59|*|*|SVT_TESTER|*|X|*|*||}{2013-11-06 14:13:38|CFG201|CFG202|SVT_TESTER|PV-1|P|English|Win8 Pro (64)||}</t>
    <phoneticPr fontId="37" type="noConversion"/>
  </si>
  <si>
    <t>{2013-04-26 17:18:49|*|*|SVT_TESTER|*|X|*|*||}{2013-11-06 14:13:44|CFG201|CFG202|SVT_TESTER|PV-1|P|English|Pre OS||}</t>
    <phoneticPr fontId="37" type="noConversion"/>
  </si>
  <si>
    <t>{2013-04-26 17:18:49|*|*|SVT_TESTER|*|X|*|*||}{2013-11-06 14:13:46|CFG201|CFG202|SVT_TESTER|PV-1|P|English|Pre OS||}</t>
    <phoneticPr fontId="37" type="noConversion"/>
  </si>
  <si>
    <t>{2013-04-26 17:18:49|*|*|SVT_TESTER|*|X|*|*||}{2013-11-06 14:15:53|CFG201|CFG202|SVT_TESTER|PV-1|P|English|Pre OS||}</t>
    <phoneticPr fontId="37" type="noConversion"/>
  </si>
  <si>
    <t>Orbitzm02U01</t>
    <phoneticPr fontId="37" type="noConversion"/>
  </si>
  <si>
    <t>Win8 Pro (64)</t>
    <phoneticPr fontId="38" type="noConversion"/>
  </si>
  <si>
    <t>Win8 Pro (64)</t>
    <phoneticPr fontId="37" type="noConversion"/>
  </si>
  <si>
    <t>{2013-04-26 17:19:20|*|*|SVT_TESTER|*|X|*|*||}{2013-11-06 15:28:45|CFG201|CFG202|SVT_TESTER|PV-1|P|English|Win8 Pro (64)||}</t>
    <phoneticPr fontId="37" type="noConversion"/>
  </si>
  <si>
    <t>{2013-04-26 17:19:20|*|*|SVT_TESTER|*|X|*|*||}{2013-11-06 15:51:16|CFG201|CFG202|SVT_TESTER|PV-1|P|English|Win8 Pro (64)||}</t>
    <phoneticPr fontId="37" type="noConversion"/>
  </si>
  <si>
    <t>{2013-04-26 17:19:20|*|*|SVT_TESTER|*|X|*|*||}{2013-11-07 09:44:12|CFG201|CFG202|SVT_TESTER|PV-1|B|English|Win8 Pro (64)||Bios K.00 is not ready}</t>
    <phoneticPr fontId="37" type="noConversion"/>
  </si>
  <si>
    <t>{2013-04-26 17:19:20|*|*|SVT_TESTER|*|X|*|*||}{2013-11-07 09:44:12|CFG201|CFG202|SVT_TESTER|PV-1|NA|English|Win8 Pro (64)||Only for platform that do not support fire bird .}</t>
    <phoneticPr fontId="37" type="noConversion"/>
  </si>
  <si>
    <t>{2013-04-26 17:19:20|*|*|SVT_TESTER|*|X|*|*||}{2013-11-07 09:44:12|CFG201|CFG202|SVT_TESTER|PV-1|NA|English|Win8 Pro (64)||No reboot interface when complete flash .}</t>
    <phoneticPr fontId="37" type="noConversion"/>
  </si>
  <si>
    <t>{2013-04-26 17:19:20|*|*|SVT_TESTER|*|X|*|*||}{2013-11-07 09:44:12|CFG201|CFG202|SVT_TESTER|PV-1|P|English|Win8 Pro (64)||}</t>
    <phoneticPr fontId="37" type="noConversion"/>
  </si>
  <si>
    <t>Win8 Pro (64)</t>
    <phoneticPr fontId="37" type="noConversion"/>
  </si>
  <si>
    <t>{2013-04-26 17:19:23|*|*|SVT_TESTER|*|X|*|*||}</t>
    <phoneticPr fontId="37" type="noConversion"/>
  </si>
  <si>
    <t>{2013-04-26 17:19:23|*|*|SVT_TESTER|*|X|*|*||}{2013-11-07 09:45:27|CFG201|CFG202|SVT_TESTER|PV-1|P|English|Win8 Pro (64)||}</t>
    <phoneticPr fontId="37" type="noConversion"/>
  </si>
  <si>
    <t>{2013-04-26 17:19:23|*|*|SVT_TESTER|*|X|*|*||}{2013-11-07 09:47:45|CFG201|CFG202|SVT_TESTER|PV-1|P|English|Win8 Pro (64)||}</t>
    <phoneticPr fontId="37" type="noConversion"/>
  </si>
  <si>
    <t>{2013-04-26 17:19:23|*|*|SVT_TESTER|*|X|*|*||}{2013-11-07 09:47:48|CFG201|CFG202|SVT_TESTER|PV-1|P|English|Win8 Pro (64)||}</t>
    <phoneticPr fontId="37" type="noConversion"/>
  </si>
  <si>
    <t>{2013-04-26 17:19:23|*|*|SVT_TESTER|*|X|*|*||}{2013-11-07 09:47:52|CFG201|CFG202|SVT_TESTER|PV-1|P|English|Win8 Pro (64)||}</t>
    <phoneticPr fontId="37" type="noConversion"/>
  </si>
  <si>
    <t>{2013-04-26 17:19:23|*|*|SVT_TESTER|*|X|*|*||}{2013-11-07 09:49:34|CFG201|CFG202|SVT_TESTER|PV-1|P|English|Win8 Pro (64)||}</t>
    <phoneticPr fontId="37" type="noConversion"/>
  </si>
  <si>
    <t>{2013-04-26 17:19:23|*|*|SVT_TESTER|*|X|*|*||}{2013-11-07 15:09:47|CFG201|CFG202|SVT_TESTER|PV-1|F|English|Win8 Pro (64)||1001113}</t>
    <phoneticPr fontId="37" type="noConversion"/>
  </si>
  <si>
    <t>{2013-04-26 17:19:23|*|*|SVT_TESTER|*|X|*|*||}{2013-11-07 15:22:09|CFG201|CFG202|SVT_TESTER|PV-1|P|English|Win8 Pro (64)||}</t>
    <phoneticPr fontId="37" type="noConversion"/>
  </si>
  <si>
    <t>{2013-04-26 17:19:23|*|*|SVT_TESTER|*|X|*|*||}{2013-11-07 16:03:25|CFG201|CFG202|SVT_TESTER|PV-1|F|English|Win8 Pro (64)||975509}</t>
    <phoneticPr fontId="37" type="noConversion"/>
  </si>
  <si>
    <t>{2013-04-26 17:19:23|*|*|SVT_TESTER|*|X|*|*||}{2013-11-07 16:12:32|CFG201|CFG202|SVT_TESTER|PV-1|P|English|Win8 Pro (64)||}</t>
    <phoneticPr fontId="37" type="noConversion"/>
  </si>
  <si>
    <t>{2013-04-26 17:19:23|*|*|SVT_TESTER|*|X|*|*||}{2013-11-07 16:40:17|CFG201|CFG202|SVT_TESTER|PV-1|P|English|Win8 Pro (64)||}</t>
    <phoneticPr fontId="37" type="noConversion"/>
  </si>
  <si>
    <t>{2013-04-26 17:19:25|*|*|SVT_TESTER|*|X|*|*||}{2013-11-07 16:41:57|CFG201|CFG202|SVT_TESTER|PV-1|F|English|Win8 Pro (64)||972669}</t>
    <phoneticPr fontId="37" type="noConversion"/>
  </si>
  <si>
    <t>{2013-04-26 17:19:25|*|*|SVT_TESTER|*|X|*|*||}{2013-11-07 17:40:16|CFG201|CFG202|SVT_TESTER|PV-1|P|English|Win8 Pro (64)||}</t>
    <phoneticPr fontId="37" type="noConversion"/>
  </si>
  <si>
    <t>{2013-04-26 17:19:25|*|*|SVT_TESTER|*|X|*|*||}{2013-11-07 17:45:58|CFG201|CFG202|SVT_TESTER|PV-1|F|English|Win8 Pro (64)||997676}</t>
    <phoneticPr fontId="37" type="noConversion"/>
  </si>
  <si>
    <t>{2013-04-26 17:19:25|*|*|SVT_TESTER|*|X|*|*||}{2013-11-07 18:11:48|CFG201|CFG202|SVT_TESTER|PV-1|P|English|Win8 Pro (64)||}</t>
    <phoneticPr fontId="37" type="noConversion"/>
  </si>
  <si>
    <t>{12-11-2011 17:26:07|*|*|SVT_TESTER|*|X|*|*||}{2013-11-07 18:18:18|CFG201|CFG202|SVT_TESTER|PV-1|P|English|Win8 Pro (64)||}</t>
    <phoneticPr fontId="37" type="noConversion"/>
  </si>
  <si>
    <t>{11-02-2010 19:06:06|*|*|Svt_Tester|*|X|*|*||}{2013-04-26 17:19:25|*|*|SVT_TESTER|*|X|*|*||}{2013-11-07 18:20:51|CFG201|CFG202|SVT_TESTER|PV-1|P|English|Win8 Pro (64)||}</t>
    <phoneticPr fontId="37" type="noConversion"/>
  </si>
  <si>
    <t>{2013-04-26 17:19:25|*|*|SVT_TESTER|*|X|*|*||}{2013-11-07 18:32:28|CFG201|CFG202|SVT_TESTER|PV-1|P|English|Win8 Pro (64)||}</t>
    <phoneticPr fontId="37" type="noConversion"/>
  </si>
  <si>
    <t>{2013-04-26 17:19:28|*|*|SVT_TESTER|*|X|*|*||}{2013-11-07 19:11:48|CFG201|CFG202|SVT_TESTER|PV-1|P|English|Win8 Pro (64)||}</t>
    <phoneticPr fontId="37" type="noConversion"/>
  </si>
  <si>
    <t>{2013-04-26 17:19:28|*|*|SVT_TESTER|*|X|*|*||}{2013-11-07 19:44:41|CFG201|CFG202|SVT_TESTER|PV-1|P|English|Win8 Pro (64)||}</t>
    <phoneticPr fontId="37" type="noConversion"/>
  </si>
  <si>
    <t>{2013-04-26 17:19:30|*|*|SVT_TESTER|*|X|*|*||}{2013-11-07 19:45:37|CFG201|CFG202|SVT_TESTER|PV-1|F|English|Win8 Pro (64)||990220}</t>
    <phoneticPr fontId="37" type="noConversion"/>
  </si>
  <si>
    <t>{2013-04-26 17:19:30|*|*|SVT_TESTER|*|X|*|*||}{2013-11-07 19:47:28|CFG201|CFG202|SVT_TESTER|PV-1|NA|English|Win8 Pro (64)||}</t>
    <phoneticPr fontId="37" type="noConversion"/>
  </si>
  <si>
    <t>{2013-04-26 17:19:30|*|*|SVT_TESTER|*|X|*|*||}{2013-11-07 19:47:36|CFG201|CFG202|SVT_TESTER|PV-1|P|English|Win8 Pro (64)||}</t>
    <phoneticPr fontId="37" type="noConversion"/>
  </si>
  <si>
    <t>{2013-04-26 17:19:30|*|*|SVT_TESTER|*|X|*|*||}{2013-11-07 19:47:58|CFG201|CFG202|SVT_TESTER|PV-1|NA|English|Win8 Pro (64)||Orbitz only support UMA}</t>
    <phoneticPr fontId="37" type="noConversion"/>
  </si>
  <si>
    <t>Win8 Pro (64)</t>
    <phoneticPr fontId="37" type="noConversion"/>
  </si>
  <si>
    <t>{2013-04-26 17:19:51|*|*|SVT_TESTER|*|X|*|*||}{2013-11-08 09:23:30|CFG201|CFG202|SVT_TESTER|PV-1|NA|English|Win8 Pro (64)||Orbitz is not D3 Dlink}</t>
    <phoneticPr fontId="37" type="noConversion"/>
  </si>
  <si>
    <t>{2013-04-26 17:19:51|*|*|SVT_TESTER|*|X|*|*||}{2013-11-08 09:23:30|CFG201|CFG202|SVT_TESTER|PV-1|NA|English|Win8 Pro (64)||Not support 3D drive guard}</t>
    <phoneticPr fontId="37" type="noConversion"/>
  </si>
  <si>
    <t>{2013-04-26 17:19:51|*|*|SVT_TESTER|*|X|*|*||}{2013-11-08 09:23:30|CFG201|CFG202|SVT_TESTER|PV-1|NA|English|Win8 Pro (64)||}</t>
    <phoneticPr fontId="37" type="noConversion"/>
  </si>
  <si>
    <t>{2013-04-26 17:19:51|*|*|SVT_TESTER|*|X|*|*||}{2013-11-08 09:23:30|CFG201|CFG202|SVT_TESTER|PV-1|NA|English|Win8 Pro (64)||Orbitz not support connectted standy}</t>
    <phoneticPr fontId="37" type="noConversion"/>
  </si>
  <si>
    <t>{2013-04-26 17:19:51|*|*|SVT_TESTER|*|X|*|*||}{2013-11-08 09:27:19|CFG201|CFG202|SVT_TESTER|PV-1|NA|English|Win8 Pro (64)||}</t>
    <phoneticPr fontId="37" type="noConversion"/>
  </si>
  <si>
    <t>{2013-04-26 17:19:51|*|*|SVT_TESTER|*|X|*|*||}{2013-11-08 09:27:19|CFG201|CFG202|SVT_TESTER|PV-1|NA|English|Win8 Pro (64)||For IEC Factoury only}</t>
    <phoneticPr fontId="37" type="noConversion"/>
  </si>
  <si>
    <t>{2013-04-26 17:19:54|*|*|SVT_TESTER|*|X|*|*||}{2013-11-08 09:27:42|CFG201|CFG202|SVT_TESTER|PV-1|NA|English|Win8 Pro (64)||start form PV}</t>
    <phoneticPr fontId="37" type="noConversion"/>
  </si>
  <si>
    <t>{2013-04-26 17:19:54|*|*|SVT_TESTER|*|X|*|*||}{2013-11-08 09:27:42|CFG201|CFG202|SVT_TESTER|PV-1|NA|English|Win8 Pro (64)||Only for platform which only support DDR3 Memory}</t>
    <phoneticPr fontId="37" type="noConversion"/>
  </si>
  <si>
    <t>{2013-04-26 17:19:28|*|*|SVT_TESTER|*|X|*|*||}{2013-11-08 11:51:09|CFG201|CFG202|SVT_TESTER|PV-1|F|English|Win8 Pro (64)||903152}</t>
    <phoneticPr fontId="37" type="noConversion"/>
  </si>
  <si>
    <t>{2013-04-26 17:19:28|*|*|SVT_TESTER|*|X|*|*||}{2013-11-08 13:30:44|CFG201|CFG202|SVT_TESTER|PV-1|P|English|FreeDOS||}</t>
    <phoneticPr fontId="37" type="noConversion"/>
  </si>
  <si>
    <t>{2013-04-26 17:19:30|*|*|SVT_TESTER|*|X|*|*||}{2013-11-08 14:14:48|CFG201|CFG202|SVT_TESTER|PV-1|P|English|Win8 Pro (64)||}</t>
    <phoneticPr fontId="37" type="noConversion"/>
  </si>
  <si>
    <t>{2013-04-26 17:19:30|*|*|SVT_TESTER|*|X|*|*||}{2013-11-08 14:15:19|CFG201|CFG202|SVT_TESTER|PV-1|P|English|Win8 Pro (64)||}</t>
    <phoneticPr fontId="37" type="noConversion"/>
  </si>
  <si>
    <t>{2013-04-26 17:19:30|*|*|SVT_TESTER|*|X|*|*||}{2013-11-08 14:15:21|CFG201|CFG202|SVT_TESTER|PV-1|P|English|Win8 Pro (64)||}</t>
    <phoneticPr fontId="37" type="noConversion"/>
  </si>
  <si>
    <t>{2013-04-26 17:19:30|*|*|SVT_TESTER|*|X|*|*||}{2013-11-08 14:15:35|CFG201|CFG202|SVT_TESTER|PV-1|NA|English|Win8 Pro (64)||}</t>
    <phoneticPr fontId="37" type="noConversion"/>
  </si>
  <si>
    <t>{2013-04-26 17:19:33|*|*|SVT_TESTER|*|X|*|*||}{2013-11-08 14:16:00|CFG201|CFG202|SVT_TESTER|PV-1|NA|English|Win8 Pro (64)||}</t>
    <phoneticPr fontId="37" type="noConversion"/>
  </si>
  <si>
    <t>{2013-04-26 17:19:33|*|*|SVT_TESTER|*|X|*|*||}{2013-11-08 14:16:16|CFG201|CFG202|SVT_TESTER|PV-1|NA|English|Win8 Pro (64)||}</t>
    <phoneticPr fontId="37" type="noConversion"/>
  </si>
  <si>
    <t>{2013-04-26 17:19:33|*|*|SVT_TESTER|*|X|*|*||}{2013-11-08 14:16:28|CFG201|CFG202|SVT_TESTER|PV-1|NA|English|Win8 Pro (64)||}</t>
    <phoneticPr fontId="37" type="noConversion"/>
  </si>
  <si>
    <t>{2013-04-26 17:19:33|*|*|SVT_TESTER|*|X|*|*||}{2013-11-08 14:16:31|CFG201|CFG202|SVT_TESTER|PV-1|P|English|Win8 Pro (64)||}</t>
    <phoneticPr fontId="37" type="noConversion"/>
  </si>
  <si>
    <t>{2013-04-26 17:19:33|*|*|SVT_TESTER|*|X|*|*||}{2013-11-08 14:16:45|CFG201|CFG202|SVT_TESTER|PV-1|NA|English|Win8 Pro (64)||}</t>
    <phoneticPr fontId="37" type="noConversion"/>
  </si>
  <si>
    <t>{2013-04-26 17:19:33|*|*|SVT_TESTER|*|X|*|*||}{2013-11-08 14:17:02|CFG201|CFG202|SVT_TESTER|PV-1|NA|English|Win8 Pro (64)||}</t>
    <phoneticPr fontId="37" type="noConversion"/>
  </si>
  <si>
    <t>{2013-04-26 17:19:33|*|*|SVT_TESTER|*|X|*|*||}{2013-11-08 15:22:40|CFG201|CFG202|SVT_TESTER|PV-1|P|English|Win8 Pro (64)||}</t>
    <phoneticPr fontId="37" type="noConversion"/>
  </si>
  <si>
    <t>{2013-04-26 17:19:33|*|*|SVT_TESTER|*|X|*|*||}{2013-11-08 15:30:30|CFG201|CFG202|SVT_TESTER|PV-1|P|English|Win8 Pro (64)||}</t>
    <phoneticPr fontId="37" type="noConversion"/>
  </si>
  <si>
    <t>{2013-04-26 17:19:33|*|*|SVT_TESTER|*|X|*|*||}{2013-11-08 16:43:16|CFG201|CFG202|SVT_TESTER|PV-1|P|English|Win8 Pro (64)||}</t>
    <phoneticPr fontId="37" type="noConversion"/>
  </si>
  <si>
    <t>{2013-04-26 17:19:38|*|*|SVT_TESTER|*|X|*|*||}{2013-11-08 16:44:37|CFG201|CFG202|SVT_TESTER|PV-1|F|English|Win8 Pro (64)||980299}</t>
    <phoneticPr fontId="37" type="noConversion"/>
  </si>
  <si>
    <t>{2013-04-26 17:19:41|*|*|SVT_TESTER|*|X|*|*||}{2013-11-08 18:02:49|CFG201|CFG202|SVT_TESTER|PV-1|P|English|Win8 Pro (64)||}</t>
    <phoneticPr fontId="37" type="noConversion"/>
  </si>
  <si>
    <t>{2013-04-26 17:19:43|*|*|SVT_TESTER|*|X|*|*||}{2013-11-08 18:21:32|CFG201|CFG202|SVT_TESTER|PV-1|P|English|Win8 Pro (64)||}</t>
    <phoneticPr fontId="37" type="noConversion"/>
  </si>
  <si>
    <t>{2013-04-26 17:19:43|*|*|SVT_TESTER|*|X|*|*||}{2013-11-08 18:23:11|CFG201|CFG202|SVT_TESTER|PV-1|NA|English|Win8 Pro (64)||Not support ODD}</t>
    <phoneticPr fontId="37" type="noConversion"/>
  </si>
  <si>
    <t>{2013-04-26 17:19:46|*|*|SVT_TESTER|*|X|*|*||}{2013-11-08 18:33:14|CFG201|CFG202|SVT_TESTER|PV-1|NA|English|Win8 Pro (64)||Only for AMD platform}</t>
    <phoneticPr fontId="37" type="noConversion"/>
  </si>
  <si>
    <t>{2013-04-26 17:19:46|*|*|SVT_TESTER|*|X|*|*||}{2013-11-08 18:33:33|CFG201|CFG202|SVT_TESTER|PV-1|NA|English|Win8 Pro (64)||Only for AMD platform}</t>
    <phoneticPr fontId="37" type="noConversion"/>
  </si>
  <si>
    <t>{2013-04-26 17:19:43|*|*|SVT_TESTER|*|X|*|*||}{2013-11-08 18:34:02|CFG201|CFG202|SVT_TESTER|PV-1|NA|English|Win8 Pro (64)||Only for Win 7}</t>
    <phoneticPr fontId="37" type="noConversion"/>
  </si>
  <si>
    <t>{2013-04-26 17:19:43|*|*|SVT_TESTER|*|X|*|*||}{2013-11-08 18:37:53|CFG201|CFG202|SVT_TESTER|PV-1|P|English|Win8 Pro (64)||}</t>
    <phoneticPr fontId="37" type="noConversion"/>
  </si>
  <si>
    <t>{2013-04-26 17:19:46|*|*|SVT_TESTER|*|X|*|*||}{2013-11-08 19:13:44|CFG201|CFG202|SVT_TESTER|PV-1|P|English|Win8 Pro (64)||}</t>
    <phoneticPr fontId="37" type="noConversion"/>
  </si>
  <si>
    <t>{2013-04-26 17:19:46|*|*|SVT_TESTER|*|X|*|*||}{2013-11-08 19:13:46|CFG201|CFG202|SVT_TESTER|PV-1|P|English|Win8 Pro (64)||}</t>
    <phoneticPr fontId="37" type="noConversion"/>
  </si>
  <si>
    <t>{2013-04-26 17:19:46|*|*|SVT_TESTER|*|X|*|*||}{2013-11-08 19:13:47|CFG201|CFG202|SVT_TESTER|PV-1|P|English|Win8 Pro (64)||}</t>
    <phoneticPr fontId="37" type="noConversion"/>
  </si>
  <si>
    <t>Win8 Pro (64)</t>
    <phoneticPr fontId="37" type="noConversion"/>
  </si>
  <si>
    <t>Orbitzm02U01</t>
    <phoneticPr fontId="37" type="noConversion"/>
  </si>
  <si>
    <t>{06-14-2013 13:37:08|*|*|SVT_TESTER|*|X|*|*||}{2013-11-11 15:45:51|CFG201|CFG202|SVT_TESTER|PV-1|P|English|Win8 Pro (64)||}</t>
    <phoneticPr fontId="37" type="noConversion"/>
  </si>
  <si>
    <t>{2013-04-26 17:19:46|*|*|SVT_TESTER|*|X|*|*||}{2013-11-11 15:47:03|CFG201|CFG202|SVT_TESTER|PV-1|P|English|Win8 Pro (64)||}</t>
    <phoneticPr fontId="37" type="noConversion"/>
  </si>
  <si>
    <t>{2013-04-26 17:19:48|*|*|SVT_TESTER|*|X|*|*||}{2013-11-11 16:48:37|CFG201|CFG202|SVT_TESTER|PV-1|P|English|Win8 Pro (64)||}</t>
    <phoneticPr fontId="37" type="noConversion"/>
  </si>
  <si>
    <t>{2013-04-26 17:19:48|*|*|SVT_TESTER|*|X|*|*||}{2013-11-11 16:48:41|CFG201|CFG202|SVT_TESTER|PV-1|P|English|Win8 Pro (64)||}</t>
    <phoneticPr fontId="37" type="noConversion"/>
  </si>
  <si>
    <t>{06-14-2013 13:37:08|*|*|SVT_TESTER|*|X|*|*||}{2013-11-11 16:54:30|CFG201|CFG202|SVT_TESTER|PV-1|P|English|Win8 Pro (64)||}</t>
    <phoneticPr fontId="37" type="noConversion"/>
  </si>
  <si>
    <t>{06-14-2013 13:37:21|*|*|SVT_TESTER|*|X|*|*||}{2013-11-11 16:56:57|CFG201|CFG202|SVT_TESTER|PV-1|NA|English|Win8 Pro (64)||Ram couldn't be removed}</t>
    <phoneticPr fontId="37" type="noConversion"/>
  </si>
  <si>
    <t>{2013-04-26 17:24:30|*|*|SVT_TESTER|*|X|*|*||}{2013-11-11 16:59:59|CFG201|CFG202|SVT_TESTER|PV-1|NA|English|Win8 Pro (64)||Not support Finger Print}</t>
    <phoneticPr fontId="37" type="noConversion"/>
  </si>
  <si>
    <t>{2013-04-26 17:24:25|*|*|SVT_TESTER|*|X|*|*||}{2013-11-11 17:00:10|CFG201|CFG202|SVT_TESTER|PV-1|P|English|Pre OS||}</t>
    <phoneticPr fontId="37" type="noConversion"/>
  </si>
  <si>
    <t>{2013-04-26 17:24:22|*|*|SVT_TESTER|*|X|*|*||}{2013-11-11 17:00:28|CFG201|CFG202|SVT_TESTER|PV-1|P|English|Win8 Pro (64)||}</t>
    <phoneticPr fontId="37" type="noConversion"/>
  </si>
  <si>
    <t>{2013-04-26 17:24:22|*|*|SVT_TESTER|*|X|*|*||}{2013-11-11 17:04:26|CFG201|CFG202|SVT_TESTER|PV-1|P|English|Win8 Pro (64)||}</t>
    <phoneticPr fontId="37" type="noConversion"/>
  </si>
  <si>
    <t>{2013-04-26 17:24:22|*|*|SVT_TESTER|*|X|*|*||}{2013-11-11 17:04:48|CFG201|CFG202|SVT_TESTER|PV-1|NA|English|Win8 Pro (64)||Not support SmartCard}</t>
    <phoneticPr fontId="37" type="noConversion"/>
  </si>
  <si>
    <t>{2013-04-26 17:24:22|*|*|SVT_TESTER|*|X|*|*||}{2013-11-11 17:05:40|CFG201|CFG202|SVT_TESTER|PV-1|NA|English|Win8 Pro (64)||Not support Wlan/Bluetooth with No secondary RF}</t>
    <phoneticPr fontId="37" type="noConversion"/>
  </si>
  <si>
    <t>{2013-04-26 17:24:22|*|*|SVT_TESTER|*|X|*|*||}{2013-11-11 17:05:40|CFG201|CFG202|SVT_TESTER|PV-1|NA|English|Win8 Pro (64)||Not support Wlan/WWan with secondary RF}</t>
    <phoneticPr fontId="37" type="noConversion"/>
  </si>
  <si>
    <t>{2013-04-26 17:24:22|*|*|SVT_TESTER|*|X|*|*||}{2013-11-11 17:05:40|CFG201|CFG202|SVT_TESTER|PV-1|NA|English|Win8 Pro (64)||Not support Wlan/wwan with no secondary RF}</t>
    <phoneticPr fontId="37" type="noConversion"/>
  </si>
  <si>
    <t>{2013-04-26 17:24:22|*|*|SVT_TESTER|*|X|*|*||}{2013-11-11 17:05:40|CFG201|CFG202|SVT_TESTER|PV-1|NA|English|Win8 Pro (64)||Not support Wwan/GPS with single RF}</t>
    <phoneticPr fontId="37" type="noConversion"/>
  </si>
  <si>
    <t>{2013-04-26 17:24:30|*|*|SVT_TESTER|*|X|*|*||}{2013-11-11 17:06:06|CFG201|CFG202|SVT_TESTER|PV-1|NA|English|Win8 Pro (64)||Not support SED HD .}</t>
    <phoneticPr fontId="37" type="noConversion"/>
  </si>
  <si>
    <t>{06-14-2013 13:37:08|*|*|SVT_TESTER|*|X|*|*||}{2013-11-11 17:06:06|CFG201|CFG202|SVT_TESTER|PV-1|NA|English|Win8 Pro (64)||Not support SED HD .}</t>
    <phoneticPr fontId="37" type="noConversion"/>
  </si>
  <si>
    <t>Orbitzm02U01</t>
    <phoneticPr fontId="38" type="noConversion"/>
  </si>
  <si>
    <t>Win8 Pro (64)</t>
    <phoneticPr fontId="37" type="noConversion"/>
  </si>
  <si>
    <t>{2013-04-26 17:24:38|*|*|SVT_TESTER|*|X|*|*||}{2013-11-12 09:20:42|CFG201|CFG202|SVT_TESTER|PV-1|P|English|Win8 Pro (64)||}</t>
    <phoneticPr fontId="37" type="noConversion"/>
  </si>
  <si>
    <t>{2013-04-26 17:24:38|*|*|SVT_TESTER|*|X|*|*||}{2013-11-12 09:26:07|CFG201|CFG202|SVT_TESTER|PV-1|P|English|Win8 Pro (64)||}</t>
    <phoneticPr fontId="37" type="noConversion"/>
  </si>
  <si>
    <t>{2013-04-26 17:24:38|*|*|SVT_TESTER|*|X|*|*||}{2013-11-12 09:27:20|CFG201|CFG202|SVT_TESTER|PV-1|NA|English|Win8 Pro (64)||The Dimm can't be removed}</t>
    <phoneticPr fontId="37" type="noConversion"/>
  </si>
  <si>
    <t>{2013-04-26 17:24:35|*|*|SVT_TESTER|*|X|*|*||}{2013-11-12 11:46:45|CFG201|CFG202|SVT_TESTER|PV-1|P|English|Win8 Pro (64)||}</t>
    <phoneticPr fontId="37" type="noConversion"/>
  </si>
  <si>
    <t>{2013-04-26 17:24:35|*|*|SVT_TESTER|*|X|*|*||}{2013-11-12 11:46:46|CFG201|CFG202|SVT_TESTER|PV-1|P|English|Win8 Pro (64)||}</t>
    <phoneticPr fontId="37" type="noConversion"/>
  </si>
  <si>
    <t>{2013-04-26 17:19:51|*|*|SVT_TESTER|*|X|*|*||}{2013-11-12 11:50:27|CFG201|CFG202|SVT_TESTER|PV-1|NA|English|Win8 Pro (64)||Not for Orbitz}</t>
    <phoneticPr fontId="37" type="noConversion"/>
  </si>
  <si>
    <t>{2013-04-26 17:19:51|*|*|SVT_TESTER|*|X|*|*||}{2013-11-12 11:50:35|CFG201|CFG202|SVT_TESTER|PV-1|NA|English|Win8 Pro (64)||Not for Orbitz}</t>
    <phoneticPr fontId="37" type="noConversion"/>
  </si>
  <si>
    <t>{2013-04-26 17:24:35|*|*|SVT_TESTER|*|X|*|*||}{2013-11-12 11:51:31|CFG201|CFG202|SVT_TESTER|PV-1|F|English|Win8 Pro (64)||990118}</t>
    <phoneticPr fontId="37" type="noConversion"/>
  </si>
  <si>
    <t>{2013-04-26 17:24:35|*|*|SVT_TESTER|*|X|*|*||}{2013-11-12 11:51:50|CFG201|CFG202|SVT_TESTER|PV-1|P|English|Win8 Pro (64)||}</t>
    <phoneticPr fontId="37" type="noConversion"/>
  </si>
  <si>
    <t>{2013-04-26 17:24:35|*|*|SVT_TESTER|*|X|*|*||}{2013-11-12 11:52:29|CFG201|CFG202|SVT_TESTER|PV-1|NA|English|Win8 Pro (64)||Not support M-sata}</t>
    <phoneticPr fontId="37" type="noConversion"/>
  </si>
  <si>
    <t>{2013-04-26 17:24:35|*|*|SVT_TESTER|*|X|*|*||}{2013-11-12 11:56:03|CFG201|CFG202|SVT_TESTER|PV-1|P|English|Win8 Pro (64)||}</t>
    <phoneticPr fontId="37" type="noConversion"/>
  </si>
  <si>
    <t>{2013-04-26 17:24:35|*|*|SVT_TESTER|*|X|*|*||}{2013-11-12 13:44:58|CFG201|CFG202|SVT_TESTER|PV-1|NA|English|Win8 Pro (64)||Not support quick web}</t>
    <phoneticPr fontId="37" type="noConversion"/>
  </si>
  <si>
    <t>{2013-04-26 17:24:35|*|*|SVT_TESTER|*|X|*|*||}{2013-11-12 14:16:08|CFG201|CFG202|SVT_TESTER|PV-1|P|English|Win8 Pro (64)||}</t>
    <phoneticPr fontId="37" type="noConversion"/>
  </si>
  <si>
    <t>{2013-04-26 17:24:35|*|*|SVT_TESTER|*|X|*|*||}{2013-11-12 14:35:36|CFG201|CFG202|SVT_TESTER|PV-1|P|English|Win8 Pro (64)||}</t>
    <phoneticPr fontId="37" type="noConversion"/>
  </si>
  <si>
    <t>{2013-11-13 08:59:20|*|*|SVT_TESTER|*|X|*|*||}</t>
  </si>
  <si>
    <t>{2013-11-13 08:59:21|*|*|SVT_TESTER|*|X|*|*||}</t>
  </si>
  <si>
    <t>{2013-11-13 08:59:22|*|*|SVT_TESTER|*|X|*|*||}</t>
  </si>
  <si>
    <t>{2013-11-13 08:59:23|*|*|SVT_TESTER|*|X|*|*||}</t>
  </si>
  <si>
    <t>{2013-11-13 08:59:24|*|*|SVT_TESTER|*|X|*|*||}</t>
  </si>
  <si>
    <t>{2013-11-13 08:59:25|*|*|SVT_TESTER|*|X|*|*||}</t>
  </si>
  <si>
    <t>45.0A</t>
  </si>
  <si>
    <t>45.0A</t>
    <phoneticPr fontId="37" type="noConversion"/>
  </si>
  <si>
    <t>45.0A</t>
    <phoneticPr fontId="37" type="noConversion"/>
  </si>
  <si>
    <t>45.0A</t>
    <phoneticPr fontId="38" type="noConversion"/>
  </si>
  <si>
    <t>Full 1730</t>
    <phoneticPr fontId="38" type="noConversion"/>
  </si>
  <si>
    <t>Full 1730</t>
    <phoneticPr fontId="37" type="noConversion"/>
  </si>
  <si>
    <t>Full 1730</t>
    <phoneticPr fontId="37" type="noConversion"/>
  </si>
  <si>
    <t>CFG203</t>
  </si>
  <si>
    <t>{2013-11-13 08:59:18|*|*|SVT_TESTER|*|X|*|*||}{2013-11-13 09:44:32|CFG201|CFG203|SVT_TESTER|PV-1|P|English|Pre OS||}</t>
    <phoneticPr fontId="37" type="noConversion"/>
  </si>
  <si>
    <t>{2013-11-13 08:59:18|*|*|SVT_TESTER|*|X|*|*||}{2013-11-13 10:31:14|CFG201|CFG203|SVT_TESTER|PV-1|NA|English|Pre OS||Not support E-sata}</t>
    <phoneticPr fontId="37" type="noConversion"/>
  </si>
  <si>
    <t>{2013-11-13 08:59:18|*|*|SVT_TESTER|*|X|*|*||}{2013-11-13 10:31:15|CFG201|CFG203|SVT_TESTER|PV-1|NA|English|Pre OS||Not support 2nd HD}</t>
    <phoneticPr fontId="37" type="noConversion"/>
  </si>
  <si>
    <t>{2013-11-13 08:59:18|*|*|SVT_TESTER|*|X|*|*||}{2013-11-13 10:33:59|CFG201|CFG203|SVT_TESTER|PV-1|P|English|Pre OS||}</t>
    <phoneticPr fontId="37" type="noConversion"/>
  </si>
  <si>
    <t>{2013-11-13 08:59:18|*|*|SVT_TESTER|*|X|*|*||}{2013-11-13 10:34:01|CFG201|CFG203|SVT_TESTER|PV-1|P|English|Win8 Pro (64)||}</t>
    <phoneticPr fontId="37" type="noConversion"/>
  </si>
  <si>
    <t>{2013-11-13 08:59:18|*|*|SVT_TESTER|*|X|*|*||}{2013-11-13 10:37:53|CFG201|CFG203|SVT_TESTER|PV-1|P|English|Pre OS||}</t>
    <phoneticPr fontId="37" type="noConversion"/>
  </si>
  <si>
    <t>{2013-11-13 08:59:18|*|*|SVT_TESTER|*|X|*|*||}{2013-11-13 10:37:54|CFG201|CFG203|SVT_TESTER|PV-1|P|English|Pre OS||}</t>
    <phoneticPr fontId="37" type="noConversion"/>
  </si>
  <si>
    <t>{2013-11-13 08:59:18|*|*|SVT_TESTER|*|X|*|*||}{2013-11-13 13:30:29|CFG201|CFG203|SVT_TESTER|PV-1|P|English|Win8 Pro (64)||}</t>
    <phoneticPr fontId="37" type="noConversion"/>
  </si>
  <si>
    <t>{2013-11-13 08:59:18|*|*|SVT_TESTER|*|X|*|*||}{2013-11-13 13:30:33|CFG201|CFG203|SVT_TESTER|PV-1|P|English|Win8 Pro (64)||}</t>
    <phoneticPr fontId="37" type="noConversion"/>
  </si>
  <si>
    <t>Win7 Pro (64)</t>
    <phoneticPr fontId="37" type="noConversion"/>
  </si>
  <si>
    <t>{2013-11-13 08:59:18|*|*|SVT_TESTER|*|X|*|*||}{2013-11-13 13:40:47|CFG201|CFG203|SVT_TESTER|PV-1|P|English|Win7 Pro (64)||}</t>
    <phoneticPr fontId="37" type="noConversion"/>
  </si>
  <si>
    <t>{2013-11-13 08:59:18|*|*|SVT_TESTER|*|X|*|*||}{2013-11-13 13:40:48|CFG201|CFG203|SVT_TESTER|PV-1|P|English|Win7 Pro (64)||}</t>
    <phoneticPr fontId="37" type="noConversion"/>
  </si>
  <si>
    <t>{2013-11-13 08:59:18|*|*|SVT_TESTER|*|X|*|*||}{2013-11-13 13:40:49|CFG201|CFG203|SVT_TESTER|PV-1|P|English|Win7 Pro (64)||}</t>
    <phoneticPr fontId="37" type="noConversion"/>
  </si>
  <si>
    <t>{2013-11-13 08:59:18|*|*|SVT_TESTER|*|X|*|*||}{2013-11-13 13:40:54|CFG201|CFG203|SVT_TESTER|PV-1|P|English|Win7 Pro (64)||}</t>
    <phoneticPr fontId="37" type="noConversion"/>
  </si>
  <si>
    <t>{2013-11-13 08:59:18|*|*|SVT_TESTER|*|X|*|*||}{2013-11-13 13:41:05|CFG201|CFG203|SVT_TESTER|PV-1|P|English|Win7 Pro (64)||}</t>
    <phoneticPr fontId="37" type="noConversion"/>
  </si>
  <si>
    <t>{2013-11-13 08:59:18|*|*|SVT_TESTER|*|X|*|*||}{2013-11-13 13:41:29|CFG201|CFG203|SVT_TESTER|PV-1|NA|English|Win7 Pro (64)||No F-series Bios}</t>
    <phoneticPr fontId="37" type="noConversion"/>
  </si>
  <si>
    <t>{2013-11-13 08:59:18|*|*|SVT_TESTER|*|X|*|*||}{2013-11-13 13:48:18|CFG201|CFG203|SVT_TESTER|PV-1|P|English|Win7 Pro (64)||}</t>
    <phoneticPr fontId="37" type="noConversion"/>
  </si>
  <si>
    <t>{2013-11-13 08:59:18|*|*|SVT_TESTER|*|X|*|*||}{2013-11-13 13:52:35|CFG201|CFG203|SVT_TESTER|PV-1|P|English|Win7 Pro (64)||}</t>
    <phoneticPr fontId="37" type="noConversion"/>
  </si>
  <si>
    <t>{2013-11-13 08:59:18|*|*|SVT_TESTER|*|X|*|*||}{2013-11-13 13:54:10|CFG201|CFG203|SVT_TESTER|PV-1|P|English|Win7 Pro (64)||}</t>
    <phoneticPr fontId="37" type="noConversion"/>
  </si>
  <si>
    <t>{2013-11-13 08:59:19|*|*|SVT_TESTER|*|X|*|*||}{2013-11-13 13:54:21|CFG201|CFG203|SVT_TESTER|PV-1|P|English|Win7 Pro (64)||}</t>
    <phoneticPr fontId="37" type="noConversion"/>
  </si>
  <si>
    <t>{2013-11-13 08:59:19|*|*|SVT_TESTER|*|X|*|*||}{2013-11-13 14:18:52|CFG201|CFG203|SVT_TESTER|PV-1|P|English|Win7 Pro (64)||}</t>
    <phoneticPr fontId="37" type="noConversion"/>
  </si>
  <si>
    <t>{2013-11-13 08:59:19|*|*|SVT_TESTER|*|X|*|*||}{2013-11-13 14:22:47|CFG201|CFG203|SVT_TESTER|PV-1|NA|English|Win7 Pro (64)||Not support FPT}</t>
    <phoneticPr fontId="37" type="noConversion"/>
  </si>
  <si>
    <t>{2013-11-13 08:59:19|*|*|SVT_TESTER|*|X|*|*||}{2013-11-13 14:22:47|CFG201|CFG203|SVT_TESTER|PV-1|NA|English|Win7 Pro (64)||Not support Smart Card}</t>
    <phoneticPr fontId="37" type="noConversion"/>
  </si>
  <si>
    <t>{2013-11-13 08:59:19|*|*|SVT_TESTER|*|X|*|*||}{2013-11-13 14:24:26|CFG201|CFG203|SVT_TESTER|PV-1|P|English|Win7 Pro (64)||}</t>
    <phoneticPr fontId="37" type="noConversion"/>
  </si>
  <si>
    <t>{2013-11-13 08:59:19|*|*|SVT_TESTER|*|X|*|*||}{2013-11-13 14:27:19|CFG201|CFG203|SVT_TESTER|PV-1|P|English|Win7 Pro (64)||}</t>
    <phoneticPr fontId="37" type="noConversion"/>
  </si>
  <si>
    <t>{2013-11-13 08:59:20|*|*|SVT_TESTER|*|X|*|*||}{2013-11-13 14:27:36|CFG201|CFG203|SVT_TESTER|PV-1|P|English|Win7 Pro (64)||}</t>
    <phoneticPr fontId="37" type="noConversion"/>
  </si>
  <si>
    <t>{2013-11-13 08:59:20|*|*|SVT_TESTER|*|X|*|*||}{2013-11-13 14:27:48|CFG201|CFG203|SVT_TESTER|PV-1|NA|English|Win7 Pro (64)||Not support ODD}</t>
    <phoneticPr fontId="37" type="noConversion"/>
  </si>
  <si>
    <t>{2013-11-13 08:59:20|*|*|SVT_TESTER|*|X|*|*||}{2013-11-13 14:38:25|CFG201|CFG203|SVT_TESTER|PV-1|P|English|Win7 Pro (64)||}</t>
    <phoneticPr fontId="37" type="noConversion"/>
  </si>
  <si>
    <t>{2013-11-13 08:59:20|*|*|SVT_TESTER|*|X|*|*||}{2013-11-13 14:38:27|CFG201|CFG203|SVT_TESTER|PV-1|P|English|Win7 Pro (64)||}</t>
    <phoneticPr fontId="37" type="noConversion"/>
  </si>
  <si>
    <t>{2013-11-13 08:59:20|*|*|SVT_TESTER|*|X|*|*||}{2013-11-13 14:38:29|CFG201|CFG203|SVT_TESTER|PV-1|P|English|Win7 Pro (64)||}</t>
    <phoneticPr fontId="37" type="noConversion"/>
  </si>
  <si>
    <t>{2013-11-13 08:59:20|*|*|SVT_TESTER|*|X|*|*||}{2013-11-13 14:40:55|CFG201|CFG203|SVT_TESTER|PV-1|P|English|Win7 Pro (64)||}</t>
    <phoneticPr fontId="37" type="noConversion"/>
  </si>
  <si>
    <t>{2013-11-13 08:59:20|*|*|SVT_TESTER|*|X|*|*||}{2013-11-13 14:40:56|CFG201|CFG203|SVT_TESTER|PV-1|P|English|Win7 Pro (64)||}</t>
    <phoneticPr fontId="37" type="noConversion"/>
  </si>
  <si>
    <t>{2013-11-13 08:59:20|*|*|SVT_TESTER|*|X|*|*||}{2013-11-13 14:40:58|CFG201|CFG203|SVT_TESTER|PV-1|P|English|Win7 Pro (64)||}</t>
    <phoneticPr fontId="37" type="noConversion"/>
  </si>
  <si>
    <t>{2013-11-13 08:59:20|*|*|SVT_TESTER|*|X|*|*||}{2013-11-13 14:41:00|CFG201|CFG203|SVT_TESTER|PV-1|P|English|Win7 Pro (64)||}</t>
    <phoneticPr fontId="37" type="noConversion"/>
  </si>
  <si>
    <t>{2013-11-13 08:59:20|*|*|SVT_TESTER|*|X|*|*||}{2013-11-13 14:41:04|CFG201|CFG203|SVT_TESTER|PV-1|P|English|Win7 Pro (64)||}</t>
    <phoneticPr fontId="37" type="noConversion"/>
  </si>
  <si>
    <t>{2013-11-13 08:59:20|*|*|SVT_TESTER|*|X|*|*||}{2013-11-13 15:06:23|CFG201|CFG203|SVT_TESTER|PV-1|P|English|Win7 Pro (64)||}</t>
    <phoneticPr fontId="37" type="noConversion"/>
  </si>
  <si>
    <t>{2013-11-13 08:59:19|*|*|SVT_TESTER|*|X|*|*||}{2013-11-13 15:07:59|CFG201|CFG203|SVT_TESTER|PV-1|P|English|FreeDOS||}</t>
    <phoneticPr fontId="37" type="noConversion"/>
  </si>
  <si>
    <t>{2013-11-13 08:59:19|*|*|SVT_TESTER|*|X|*|*||}{2013-11-13 15:08:02|CFG201|CFG203|SVT_TESTER|PV-1|P|English|FreeDOS||}</t>
    <phoneticPr fontId="37" type="noConversion"/>
  </si>
  <si>
    <t>{2013-11-13 08:59:19|*|*|SVT_TESTER|*|X|*|*||}{2013-11-13 15:08:11|CFG201|CFG203|SVT_TESTER|PV-1|NA|English|Win7 Pro (64)||This is B-series Bios}</t>
    <phoneticPr fontId="37" type="noConversion"/>
  </si>
  <si>
    <t>{2013-11-13 08:59:19|*|*|SVT_TESTER|*|X|*|*||}{2013-11-13 15:08:15|CFG201|CFG203|SVT_TESTER|PV-1|P|English|FreeDOS||}</t>
    <phoneticPr fontId="37" type="noConversion"/>
  </si>
  <si>
    <t>{2013-11-13 08:59:19|*|*|SVT_TESTER|*|X|*|*||}{2013-11-13 15:09:29|CFG201|CFG203|SVT_TESTER|PV-1|F|English|FreeDOS||}</t>
    <phoneticPr fontId="37" type="noConversion"/>
  </si>
  <si>
    <t>{2013-11-13 08:59:19|*|*|SVT_TESTER|*|X|*|*||}{2013-11-13 15:09:58|CFG201|CFG203|SVT_TESTER|PV-1|P|English|Win7 Pro (64)||}</t>
    <phoneticPr fontId="37" type="noConversion"/>
  </si>
  <si>
    <t>{2013-11-13 08:59:19|*|*|SVT_TESTER|*|X|*|*||}{2013-11-13 15:10:00|CFG201|CFG203|SVT_TESTER|PV-1|P|English|Win7 Pro (64)||}</t>
    <phoneticPr fontId="37" type="noConversion"/>
  </si>
  <si>
    <t>{2013-11-13 08:59:19|*|*|SVT_TESTER|*|X|*|*||}{2013-11-13 15:10:01|CFG201|CFG203|SVT_TESTER|PV-1|P|English|Win7 Pro (64)||}</t>
    <phoneticPr fontId="37" type="noConversion"/>
  </si>
  <si>
    <t>{2013-11-13 08:59:19|*|*|SVT_TESTER|*|X|*|*||}{2013-11-13 15:10:03|CFG201|CFG203|SVT_TESTER|PV-1|P|English|Win7 Pro (64)||}</t>
    <phoneticPr fontId="37" type="noConversion"/>
  </si>
  <si>
    <t>{2013-11-13 08:59:19|*|*|SVT_TESTER|*|X|*|*||}{2013-11-13 15:10:16|CFG201|CFG203|SVT_TESTER|PV-1|NA|English|Win7 Pro (64)||Not support FPT}</t>
    <phoneticPr fontId="37" type="noConversion"/>
  </si>
  <si>
    <t>{2013-11-13 08:59:19|*|*|SVT_TESTER|*|X|*|*||}{2013-11-13 15:10:16|CFG201|CFG203|SVT_TESTER|PV-1|NA|English|Win7 Pro (64)||Not support Smart Card}</t>
    <phoneticPr fontId="37" type="noConversion"/>
  </si>
  <si>
    <t>{2013-11-13 08:59:19|*|*|SVT_TESTER|*|X|*|*||}{2013-11-13 15:10:21|CFG201|CFG203|SVT_TESTER|PV-1|P|English|Win7 Pro (64)||}</t>
    <phoneticPr fontId="37" type="noConversion"/>
  </si>
  <si>
    <t>{2013-11-13 08:59:19|*|*|SVT_TESTER|*|X|*|*||}{2013-11-13 15:10:24|CFG201|CFG203|SVT_TESTER|PV-1|P|English|Win7 Pro (64)||}</t>
    <phoneticPr fontId="37" type="noConversion"/>
  </si>
  <si>
    <t>{2013-11-13 08:59:19|*|*|SVT_TESTER|*|X|*|*||}{2013-11-13 15:11:33|CFG201|CFG203|SVT_TESTER|PV-1|NA|English|Win7 Pro (64)||Not support ODD}</t>
    <phoneticPr fontId="37" type="noConversion"/>
  </si>
  <si>
    <t>{2013-11-13 08:59:19|*|*|SVT_TESTER|*|X|*|*||}{2013-11-13 15:11:43|CFG201|CFG203|SVT_TESTER|PV-1|P|English|Win7 Pro (64)||}</t>
    <phoneticPr fontId="37" type="noConversion"/>
  </si>
  <si>
    <t>{2013-11-13 08:59:19|*|*|SVT_TESTER|*|X|*|*||}{2013-11-13 15:11:46|CFG201|CFG203|SVT_TESTER|PV-1|P|English|Win7 Pro (64)||}</t>
    <phoneticPr fontId="37" type="noConversion"/>
  </si>
  <si>
    <t>{2013-11-13 08:59:19|*|*|SVT_TESTER|*|X|*|*||}{2013-11-13 15:11:47|CFG201|CFG203|SVT_TESTER|PV-1|P|English|Win7 Pro (64)||}</t>
    <phoneticPr fontId="37" type="noConversion"/>
  </si>
  <si>
    <t>{2013-11-13 08:59:19|*|*|SVT_TESTER|*|X|*|*||}{2013-11-13 15:22:36|CFG201|CFG203|SVT_TESTER|PV-1|P|English|Win7 Pro (64)||}</t>
    <phoneticPr fontId="37" type="noConversion"/>
  </si>
  <si>
    <t>{2013-11-13 08:59:19|*|*|SVT_TESTER|*|X|*|*||}{2013-11-13 15:23:49|CFG201|CFG203|SVT_TESTER|PV-1|P|English|Win7 Pro (64)||}</t>
    <phoneticPr fontId="37" type="noConversion"/>
  </si>
  <si>
    <t>{2013-11-13 08:59:19|*|*|SVT_TESTER|*|X|*|*||}{2013-11-13 15:23:52|CFG201|CFG203|SVT_TESTER|PV-1|P|English|Win7 Pro (64)||}</t>
    <phoneticPr fontId="37" type="noConversion"/>
  </si>
  <si>
    <t>{2013-11-13 08:59:19|*|*|SVT_TESTER|*|X|*|*||}{2013-11-13 15:23:53|CFG201|CFG203|SVT_TESTER|PV-1|P|English|Win7 Pro (64)||}</t>
    <phoneticPr fontId="37" type="noConversion"/>
  </si>
  <si>
    <t>{2013-11-13 08:59:19|*|*|SVT_TESTER|*|X|*|*||}{2013-11-13 15:23:54|CFG201|CFG203|SVT_TESTER|PV-1|P|English|Win7 Pro (64)||}</t>
    <phoneticPr fontId="37" type="noConversion"/>
  </si>
  <si>
    <t>{2013-11-13 08:59:20|*|*|SVT_TESTER|*|X|*|*||}{2013-11-13 15:23:59|CFG201|CFG203|SVT_TESTER|PV-1|P|English|Win7 Pro (64)||}</t>
    <phoneticPr fontId="37" type="noConversion"/>
  </si>
  <si>
    <t>{2013-11-13 08:59:20|*|*|SVT_TESTER|*|X|*|*||}{2013-11-13 15:26:16|CFG201|CFG203|SVT_TESTER|PV-1|P|English|Win7 Pro (64)||}</t>
    <phoneticPr fontId="37" type="noConversion"/>
  </si>
  <si>
    <t>{2013-11-13 08:59:20|*|*|SVT_TESTER|*|X|*|*||}{2013-11-13 15:37:21|CFG201|CFG203|SVT_TESTER|PV-1|P|English|Win7 Pro (64)||}</t>
    <phoneticPr fontId="37" type="noConversion"/>
  </si>
  <si>
    <t>{2013-11-13 08:59:19|*|*|SVT_TESTER|*|X|*|*||}{2013-11-13 15:37:24|CFG201|CFG203|SVT_TESTER|PV-1|P|English|Win7 Pro (64)||}</t>
    <phoneticPr fontId="37" type="noConversion"/>
  </si>
  <si>
    <t>{2013-11-13 08:59:19|*|*|SVT_TESTER|*|X|*|*||}{2013-11-13 15:37:31|CFG201|CFG203|SVT_TESTER|PV-1|P|English|Win7 Pro (64)||}</t>
    <phoneticPr fontId="37" type="noConversion"/>
  </si>
  <si>
    <t>{2013-11-13 08:59:19|*|*|SVT_TESTER|*|X|*|*||}{2013-11-13 15:38:26|CFG201|CFG203|SVT_TESTER|PV-1|P|English|Win7 Pro (64)||}</t>
    <phoneticPr fontId="37" type="noConversion"/>
  </si>
  <si>
    <t>{2013-11-13 08:59:19|*|*|SVT_TESTER|*|X|*|*||}{2013-11-13 15:38:35|CFG201|CFG203|SVT_TESTER|PV-1|P|English|Win7 Pro (64)||}</t>
    <phoneticPr fontId="37" type="noConversion"/>
  </si>
  <si>
    <t>{2013-11-13 08:59:19|*|*|SVT_TESTER|*|X|*|*||}{2013-11-13 15:38:36|CFG201|CFG203|SVT_TESTER|PV-1|P|English|Win7 Pro (64)||}</t>
    <phoneticPr fontId="37" type="noConversion"/>
  </si>
  <si>
    <t>{2013-11-13 08:59:19|*|*|SVT_TESTER|*|X|*|*||}{2013-11-13 15:38:41|CFG201|CFG203|SVT_TESTER|PV-1|P|English|Win7 Pro (64)||}</t>
    <phoneticPr fontId="37" type="noConversion"/>
  </si>
  <si>
    <t>{2013-11-13 08:59:19|*|*|SVT_TESTER|*|X|*|*||}{2013-11-13 15:38:41|CFG201|CFG203|SVT_TESTER|PV-1|P|English|Pre OS||}</t>
    <phoneticPr fontId="37" type="noConversion"/>
  </si>
  <si>
    <t>{2013-11-13 08:59:19|*|*|SVT_TESTER|*|X|*|*||}{2013-11-13 15:38:43|CFG201|CFG203|SVT_TESTER|PV-1|P|English|Pre OS||}</t>
    <phoneticPr fontId="37" type="noConversion"/>
  </si>
  <si>
    <t>{2013-11-13 08:59:18|*|*|SVT_TESTER|*|X|*|*||}{2013-11-13 15:38:48|CFG201|CFG203|SVT_TESTER|PV-1|P|English|Win7 Pro (64)||}</t>
    <phoneticPr fontId="37" type="noConversion"/>
  </si>
  <si>
    <t>{2013-11-13 08:59:19|*|*|SVT_TESTER|*|X|*|*||}{2013-11-13 15:38:48|CFG201|CFG203|SVT_TESTER|PV-1|P|English|Win7 Pro (64)||}</t>
    <phoneticPr fontId="37" type="noConversion"/>
  </si>
  <si>
    <t>{2013-11-13 08:59:19|*|*|SVT_TESTER|*|X|*|*||}{2013-11-13 15:38:49|CFG201|CFG203|SVT_TESTER|PV-1|P|English|Win7 Pro (64)||}</t>
    <phoneticPr fontId="37" type="noConversion"/>
  </si>
  <si>
    <t>{2013-11-13 08:59:19|*|*|SVT_TESTER|*|X|*|*||}{2013-11-13 15:38:50|CFG201|CFG203|SVT_TESTER|PV-1|P|English|Win7 Pro (64)||}</t>
    <phoneticPr fontId="37" type="noConversion"/>
  </si>
  <si>
    <t>{2013-11-13 08:59:18|*|*|SVT_TESTER|*|X|*|*||}{2013-11-13 15:39:26|CFG201|CFG203|SVT_TESTER|PV-1|P|English|Win7 Pro (64)||}</t>
    <phoneticPr fontId="37" type="noConversion"/>
  </si>
  <si>
    <t>{2013-11-13 08:59:18|*|*|SVT_TESTER|*|X|*|*||}{2013-11-13 15:39:27|CFG201|CFG203|SVT_TESTER|PV-1|P|English|Win7 Pro (64)||}</t>
    <phoneticPr fontId="37" type="noConversion"/>
  </si>
  <si>
    <t>{2013-11-13 08:59:18|*|*|SVT_TESTER|*|X|*|*||}{2013-11-13 15:39:31|CFG201|CFG203|SVT_TESTER|PV-1|P|English|Win7 Pro (64)||}</t>
    <phoneticPr fontId="37" type="noConversion"/>
  </si>
  <si>
    <t>{2013-11-13 08:59:18|*|*|SVT_TESTER|*|X|*|*||}{2013-11-13 15:40:40|CFG201|CFG203|SVT_TESTER|PV-1|P|English|Win7 Pro (64)||}</t>
    <phoneticPr fontId="37" type="noConversion"/>
  </si>
  <si>
    <t>Win7 Pro (32)</t>
    <phoneticPr fontId="37" type="noConversion"/>
  </si>
  <si>
    <t>{2013-11-13 08:59:18|*|*|SVT_TESTER|*|X|*|*||}{2013-11-13 15:41:07|CFG201|CFG203|SVT_TESTER|PV-1|P|English|Win7 Pro (32)||}</t>
    <phoneticPr fontId="37" type="noConversion"/>
  </si>
  <si>
    <t>{2013-11-13 08:59:18|*|*|SVT_TESTER|*|X|*|*||}{2013-11-13 15:41:08|CFG201|CFG203|SVT_TESTER|PV-1|P|English|Win7 Pro (32)||}</t>
    <phoneticPr fontId="37" type="noConversion"/>
  </si>
  <si>
    <t>{2013-11-13 08:59:18|*|*|SVT_TESTER|*|X|*|*||}{2013-11-13 15:41:09|CFG201|CFG203|SVT_TESTER|PV-1|P|English|Win7 Pro (32)||}</t>
    <phoneticPr fontId="37" type="noConversion"/>
  </si>
  <si>
    <t>{2013-11-13 08:59:18|*|*|SVT_TESTER|*|X|*|*||}{2013-11-13 15:41:10|CFG201|CFG203|SVT_TESTER|PV-1|P|English|Win7 Pro (32)||}</t>
    <phoneticPr fontId="37" type="noConversion"/>
  </si>
  <si>
    <t>{2013-11-13 08:59:18|*|*|SVT_TESTER|*|X|*|*||}{2013-11-13 15:41:13|CFG201|CFG203|SVT_TESTER|PV-1|P|English|Win7 Pro (32)||}</t>
    <phoneticPr fontId="37" type="noConversion"/>
  </si>
  <si>
    <t>{2013-11-13 08:59:18|*|*|SVT_TESTER|*|X|*|*||}{2013-11-13 15:41:17|CFG201|CFG203|SVT_TESTER|PV-1|P|English|Win7 Pro (32)||}</t>
    <phoneticPr fontId="37" type="noConversion"/>
  </si>
  <si>
    <t>{2013-11-13 08:59:18|*|*|SVT_TESTER|*|X|*|*||}{2013-11-13 15:41:18|CFG201|CFG203|SVT_TESTER|PV-1|P|English|Win7 Pro (32)||}</t>
    <phoneticPr fontId="37" type="noConversion"/>
  </si>
  <si>
    <t>{2013-11-13 08:59:18|*|*|SVT_TESTER|*|X|*|*||}{2013-11-13 15:41:19|CFG201|CFG203|SVT_TESTER|PV-1|P|English|Win7 Pro (32)||}</t>
    <phoneticPr fontId="37" type="noConversion"/>
  </si>
  <si>
    <t>{2013-11-13 08:59:18|*|*|SVT_TESTER|*|X|*|*||}{2013-11-13 15:41:21|CFG201|CFG203|SVT_TESTER|PV-1|P|English|Win7 Pro (32)||}</t>
    <phoneticPr fontId="37" type="noConversion"/>
  </si>
  <si>
    <t>{2013-11-13 08:59:18|*|*|SVT_TESTER|*|X|*|*||}{2013-11-13 15:41:22|CFG201|CFG203|SVT_TESTER|PV-1|P|English|Win7 Pro (32)||}</t>
    <phoneticPr fontId="37" type="noConversion"/>
  </si>
  <si>
    <t>{2013-11-13 08:59:18|*|*|SVT_TESTER|*|X|*|*||}{2013-11-13 15:41:24|CFG201|CFG203|SVT_TESTER|PV-1|P|English|Win7 Pro (32)||}</t>
    <phoneticPr fontId="37" type="noConversion"/>
  </si>
  <si>
    <t>{2013-11-13 08:59:18|*|*|SVT_TESTER|*|X|*|*||}{2013-11-13 15:41:25|CFG201|CFG203|SVT_TESTER|PV-1|P|English|Win7 Pro (32)||}</t>
    <phoneticPr fontId="37" type="noConversion"/>
  </si>
  <si>
    <t>{2013-11-13 08:59:18|*|*|SVT_TESTER|*|X|*|*||}{2013-11-13 15:41:27|CFG201|CFG203|SVT_TESTER|PV-1|P|English|Win7 Pro (32)||}</t>
    <phoneticPr fontId="37" type="noConversion"/>
  </si>
  <si>
    <t>{2013-11-13 08:59:18|*|*|SVT_TESTER|*|X|*|*||}{2013-11-13 15:41:28|CFG201|CFG203|SVT_TESTER|PV-1|P|English|Win7 Pro (32)||}</t>
    <phoneticPr fontId="37" type="noConversion"/>
  </si>
  <si>
    <t>{2013-11-13 08:59:18|*|*|SVT_TESTER|*|X|*|*||}{2013-11-13 15:41:29|CFG201|CFG203|SVT_TESTER|PV-1|P|English|Win7 Pro (32)||}</t>
    <phoneticPr fontId="37" type="noConversion"/>
  </si>
  <si>
    <t>{2013-11-13 08:59:18|*|*|SVT_TESTER|*|X|*|*||}{2013-11-13 15:41:30|CFG201|CFG203|SVT_TESTER|PV-1|P|English|Win7 Pro (32)||}</t>
    <phoneticPr fontId="37" type="noConversion"/>
  </si>
  <si>
    <t>{2013-11-13 08:59:18|*|*|SVT_TESTER|*|X|*|*||}{2013-11-13 15:41:31|CFG201|CFG203|SVT_TESTER|PV-1|P|English|Win7 Pro (32)||}</t>
    <phoneticPr fontId="37" type="noConversion"/>
  </si>
  <si>
    <t>{2013-11-13 08:59:18|*|*|SVT_TESTER|*|X|*|*||}{2013-11-13 15:41:49|CFG201|CFG203|SVT_TESTER|PV-1|P|English|Win8 Pro (64)||}</t>
    <phoneticPr fontId="37" type="noConversion"/>
  </si>
  <si>
    <t>{2013-11-13 08:59:18|*|*|SVT_TESTER|*|X|*|*||}{2013-11-13 15:43:10|CFG201|CFG203|SVT_TESTER|PV-1|P|English|Pre OS||}</t>
    <phoneticPr fontId="37" type="noConversion"/>
  </si>
  <si>
    <t>{2013-11-13 08:59:18|*|*|SVT_TESTER|*|X|*|*||}{2013-11-13 16:13:54|CFG201|CFG203|SVT_TESTER|PV-1|P|English|Win8 Pro (64)||}</t>
    <phoneticPr fontId="37" type="noConversion"/>
  </si>
  <si>
    <t>{2013-11-13 08:59:18|*|*|SVT_TESTER|*|X|*|*||}{2013-11-13 16:14:59|CFG201|CFG203|SVT_TESTER|PV-1|NA|English|Win7 Pro (64)||This is for F-series Bios}</t>
    <phoneticPr fontId="37" type="noConversion"/>
  </si>
  <si>
    <t>{2013-11-13 08:59:18|*|*|SVT_TESTER|*|X|*|*||}{2013-11-13 16:51:37|CFG201|CFG203|SVT_TESTER|PV-1|P|English|Pre OS||}</t>
    <phoneticPr fontId="37" type="noConversion"/>
  </si>
  <si>
    <t>{2013-11-13 08:59:18|*|*|SVT_TESTER|*|X|*|*||}{2013-11-13 16:51:41|CFG201|CFG203|SVT_TESTER|PV-1|P|English|Pre OS||}</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</si>
</sst>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
    <numFmt numFmtId="177" formatCode="00000"/>
    <numFmt numFmtId="178" formatCode="000000"/>
  </numFmts>
  <fonts count="42">
    <font>
      <sz val="10"/>
      <name val="Arial"/>
    </font>
    <font>
      <sz val="10"/>
      <name val="Arial"/>
      <family val="2"/>
    </font>
    <font>
      <sz val="8"/>
      <name val="Arial"/>
      <family val="2"/>
    </font>
    <font>
      <sz val="9"/>
      <name val="Arial"/>
      <family val="2"/>
    </font>
    <font>
      <u/>
      <sz val="10"/>
      <color indexed="12"/>
      <name val="Arial"/>
      <family val="2"/>
    </font>
    <font>
      <b/>
      <u/>
      <sz val="10"/>
      <name val="Arial"/>
      <family val="2"/>
    </font>
    <font>
      <b/>
      <sz val="9"/>
      <name val="Arial"/>
      <family val="2"/>
    </font>
    <font>
      <b/>
      <sz val="9"/>
      <name val="Arial"/>
      <family val="2"/>
    </font>
    <font>
      <b/>
      <sz val="10"/>
      <name val="Arial"/>
      <family val="2"/>
    </font>
    <font>
      <b/>
      <sz val="10"/>
      <color indexed="8"/>
      <name val="Arial"/>
      <family val="2"/>
    </font>
    <font>
      <sz val="8"/>
      <name val="Arial"/>
      <family val="2"/>
    </font>
    <font>
      <sz val="8"/>
      <color indexed="57"/>
      <name val="Arial"/>
      <family val="2"/>
    </font>
    <font>
      <sz val="8"/>
      <color indexed="10"/>
      <name val="Arial"/>
      <family val="2"/>
    </font>
    <font>
      <b/>
      <sz val="8"/>
      <name val="Arial"/>
      <family val="2"/>
    </font>
    <font>
      <sz val="8"/>
      <color indexed="9"/>
      <name val="Arial"/>
      <family val="2"/>
    </font>
    <font>
      <sz val="8"/>
      <color indexed="8"/>
      <name val="Arial"/>
      <family val="2"/>
    </font>
    <font>
      <b/>
      <sz val="10"/>
      <color indexed="10"/>
      <name val="Arial"/>
      <family val="2"/>
    </font>
    <font>
      <sz val="10"/>
      <name val="Arial"/>
      <family val="2"/>
    </font>
    <font>
      <sz val="10"/>
      <name val="Helv"/>
      <family val="2"/>
    </font>
    <font>
      <b/>
      <sz val="8"/>
      <color indexed="81"/>
      <name val="Tahoma"/>
      <family val="2"/>
    </font>
    <font>
      <sz val="12"/>
      <name val="Impact"/>
      <family val="2"/>
    </font>
    <font>
      <b/>
      <sz val="9"/>
      <color indexed="9"/>
      <name val="Arial"/>
      <family val="2"/>
    </font>
    <font>
      <sz val="9"/>
      <color indexed="8"/>
      <name val="Arial"/>
      <family val="2"/>
    </font>
    <font>
      <sz val="10"/>
      <color indexed="8"/>
      <name val="Arial"/>
      <family val="2"/>
    </font>
    <font>
      <sz val="10"/>
      <color theme="1"/>
      <name val="Arial"/>
      <family val="2"/>
    </font>
    <font>
      <b/>
      <sz val="14"/>
      <name val="Arial"/>
      <family val="2"/>
    </font>
    <font>
      <b/>
      <sz val="12"/>
      <color indexed="9"/>
      <name val="Arial"/>
      <family val="2"/>
    </font>
    <font>
      <i/>
      <sz val="10"/>
      <color indexed="9"/>
      <name val="Arial"/>
      <family val="2"/>
    </font>
    <font>
      <b/>
      <sz val="11"/>
      <name val="Arial"/>
      <family val="2"/>
    </font>
    <font>
      <sz val="12"/>
      <name val="Arial"/>
      <family val="2"/>
    </font>
    <font>
      <sz val="12"/>
      <color theme="1"/>
      <name val="Arial"/>
      <family val="2"/>
    </font>
    <font>
      <b/>
      <sz val="14"/>
      <color indexed="8"/>
      <name val="Arial"/>
      <family val="2"/>
    </font>
    <font>
      <sz val="14"/>
      <color indexed="8"/>
      <name val="Arial"/>
      <family val="2"/>
    </font>
    <font>
      <sz val="14"/>
      <name val="Arial"/>
      <family val="2"/>
    </font>
    <font>
      <b/>
      <sz val="12"/>
      <name val="Arial"/>
      <family val="2"/>
    </font>
    <font>
      <b/>
      <sz val="9"/>
      <color indexed="81"/>
      <name val="Tahoma"/>
      <family val="2"/>
    </font>
    <font>
      <sz val="9"/>
      <color indexed="81"/>
      <name val="Tahoma"/>
      <family val="2"/>
    </font>
    <font>
      <sz val="9"/>
      <name val="宋体"/>
      <family val="3"/>
      <charset val="134"/>
    </font>
    <font>
      <sz val="9"/>
      <name val="細明體"/>
      <family val="3"/>
      <charset val="136"/>
    </font>
    <font>
      <b/>
      <sz val="10"/>
      <color indexed="9"/>
      <name val="Arial"/>
      <family val="2"/>
    </font>
    <font>
      <sz val="8"/>
      <color rgb="FF000000"/>
      <name val="Tahoma"/>
      <family val="2"/>
    </font>
    <font>
      <sz val="10"/>
      <color rgb="FF000000"/>
      <name val="Arial"/>
      <family val="2"/>
    </font>
  </fonts>
  <fills count="21">
    <fill>
      <patternFill patternType="none"/>
    </fill>
    <fill>
      <patternFill patternType="gray125"/>
    </fill>
    <fill>
      <patternFill patternType="solid">
        <fgColor indexed="44"/>
        <bgColor indexed="64"/>
      </patternFill>
    </fill>
    <fill>
      <patternFill patternType="lightTrellis"/>
    </fill>
    <fill>
      <patternFill patternType="solid">
        <fgColor indexed="56"/>
        <bgColor indexed="64"/>
      </patternFill>
    </fill>
    <fill>
      <patternFill patternType="solid">
        <fgColor indexed="43"/>
        <bgColor indexed="64"/>
      </patternFill>
    </fill>
    <fill>
      <patternFill patternType="gray0625">
        <bgColor indexed="4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indexed="60"/>
        <bgColor indexed="64"/>
      </patternFill>
    </fill>
    <fill>
      <patternFill patternType="solid">
        <fgColor indexed="63"/>
        <bgColor indexed="64"/>
      </patternFill>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12"/>
        <bgColor indexed="64"/>
      </patternFill>
    </fill>
    <fill>
      <patternFill patternType="solid">
        <fgColor rgb="FFFFFF00"/>
        <bgColor indexed="64"/>
      </patternFill>
    </fill>
    <fill>
      <patternFill patternType="solid">
        <fgColor indexed="52"/>
        <bgColor indexed="64"/>
      </patternFill>
    </fill>
    <fill>
      <patternFill patternType="solid">
        <fgColor indexed="65"/>
        <bgColor indexed="64"/>
      </patternFill>
    </fill>
    <fill>
      <patternFill patternType="solid">
        <fgColor theme="0"/>
        <bgColor indexed="64"/>
      </patternFill>
    </fill>
    <fill>
      <patternFill patternType="solid">
        <fgColor indexed="63"/>
        <bgColor indexed="63"/>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s>
  <cellStyleXfs count="39">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4">
    <xf numFmtId="0" fontId="0" fillId="0" borderId="0" xfId="0"/>
    <xf numFmtId="0" fontId="0" fillId="0" borderId="0" xfId="0" applyAlignment="1">
      <alignment horizontal="center"/>
    </xf>
    <xf numFmtId="0" fontId="3" fillId="0" borderId="0" xfId="0" applyFont="1"/>
    <xf numFmtId="0" fontId="0" fillId="0" borderId="0" xfId="0" applyAlignment="1">
      <alignment horizontal="left"/>
    </xf>
    <xf numFmtId="0" fontId="13" fillId="0" borderId="1" xfId="0" applyFont="1" applyBorder="1" applyAlignment="1">
      <alignment horizontal="right"/>
    </xf>
    <xf numFmtId="0" fontId="13" fillId="0" borderId="1" xfId="0" applyFont="1" applyBorder="1" applyAlignment="1">
      <alignment horizontal="center"/>
    </xf>
    <xf numFmtId="0" fontId="2" fillId="0" borderId="1" xfId="0" applyFont="1" applyBorder="1" applyAlignment="1">
      <alignment horizontal="center"/>
    </xf>
    <xf numFmtId="0" fontId="13" fillId="2" borderId="1" xfId="0" applyFont="1" applyFill="1" applyBorder="1" applyAlignment="1">
      <alignment horizontal="center"/>
    </xf>
    <xf numFmtId="0" fontId="8" fillId="2" borderId="1" xfId="0" applyFont="1" applyFill="1" applyBorder="1" applyAlignment="1">
      <alignment horizontal="center"/>
    </xf>
    <xf numFmtId="0" fontId="10" fillId="0" borderId="1" xfId="0" applyFont="1" applyBorder="1" applyAlignment="1">
      <alignment horizontal="center"/>
    </xf>
    <xf numFmtId="176" fontId="10" fillId="0" borderId="1" xfId="0" applyNumberFormat="1" applyFont="1" applyBorder="1" applyAlignment="1">
      <alignment horizontal="center"/>
    </xf>
    <xf numFmtId="176" fontId="13" fillId="0" borderId="1" xfId="0" applyNumberFormat="1" applyFont="1" applyBorder="1" applyAlignment="1">
      <alignment horizontal="center"/>
    </xf>
    <xf numFmtId="176" fontId="10" fillId="3" borderId="1" xfId="0" applyNumberFormat="1" applyFont="1" applyFill="1" applyBorder="1" applyAlignment="1">
      <alignment horizontal="center"/>
    </xf>
    <xf numFmtId="0" fontId="13" fillId="0" borderId="1" xfId="0" applyFont="1" applyFill="1" applyBorder="1" applyAlignment="1">
      <alignment horizontal="center"/>
    </xf>
    <xf numFmtId="176" fontId="13" fillId="0" borderId="1" xfId="0" applyNumberFormat="1" applyFont="1" applyFill="1" applyBorder="1" applyAlignment="1">
      <alignment horizontal="center"/>
    </xf>
    <xf numFmtId="0" fontId="10" fillId="0" borderId="1" xfId="0" applyFont="1" applyFill="1" applyBorder="1" applyAlignment="1">
      <alignment horizontal="center"/>
    </xf>
    <xf numFmtId="176" fontId="10" fillId="0" borderId="1" xfId="0" applyNumberFormat="1" applyFont="1" applyFill="1" applyBorder="1" applyAlignment="1">
      <alignment horizontal="center"/>
    </xf>
    <xf numFmtId="0" fontId="3" fillId="0" borderId="2" xfId="0" applyFont="1" applyBorder="1"/>
    <xf numFmtId="0" fontId="3" fillId="0" borderId="0" xfId="0" applyFont="1" applyBorder="1" applyAlignment="1">
      <alignment horizontal="left" indent="1"/>
    </xf>
    <xf numFmtId="0" fontId="3" fillId="0" borderId="2" xfId="0" applyFont="1" applyBorder="1" applyAlignment="1">
      <alignment horizontal="left" indent="1"/>
    </xf>
    <xf numFmtId="0" fontId="3" fillId="0" borderId="0"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5" fillId="0" borderId="0" xfId="0" applyFont="1" applyAlignment="1">
      <alignment horizontal="center"/>
    </xf>
    <xf numFmtId="14" fontId="2" fillId="0" borderId="1" xfId="0" applyNumberFormat="1" applyFont="1" applyBorder="1"/>
    <xf numFmtId="0" fontId="6" fillId="2" borderId="1" xfId="0" applyFont="1" applyFill="1" applyBorder="1" applyAlignment="1">
      <alignment horizontal="left"/>
    </xf>
    <xf numFmtId="0" fontId="3" fillId="0" borderId="0" xfId="0" applyFont="1" applyAlignment="1">
      <alignment horizontal="left"/>
    </xf>
    <xf numFmtId="0" fontId="20" fillId="0" borderId="0" xfId="0" applyFont="1"/>
    <xf numFmtId="0" fontId="2" fillId="0" borderId="0" xfId="0" applyFont="1" applyAlignment="1">
      <alignment horizontal="right"/>
    </xf>
    <xf numFmtId="0" fontId="22" fillId="0" borderId="0" xfId="4" applyNumberFormat="1" applyFont="1" applyFill="1" applyBorder="1" applyAlignment="1">
      <alignment horizontal="left"/>
    </xf>
    <xf numFmtId="0" fontId="22" fillId="0" borderId="0" xfId="3" applyFont="1" applyFill="1" applyBorder="1" applyAlignment="1">
      <alignment horizontal="left"/>
    </xf>
    <xf numFmtId="0" fontId="22" fillId="0" borderId="0" xfId="0" applyFont="1" applyFill="1" applyBorder="1" applyAlignment="1">
      <alignment vertical="center" wrapText="1"/>
    </xf>
    <xf numFmtId="0" fontId="8" fillId="0" borderId="0" xfId="0" applyFont="1" applyAlignment="1">
      <alignment horizontal="right"/>
    </xf>
    <xf numFmtId="0" fontId="2" fillId="0" borderId="0" xfId="0" applyFont="1" applyAlignment="1">
      <alignment horizontal="center"/>
    </xf>
    <xf numFmtId="14" fontId="2" fillId="0" borderId="0" xfId="0" applyNumberFormat="1" applyFont="1" applyAlignment="1">
      <alignment horizontal="right"/>
    </xf>
    <xf numFmtId="0" fontId="3" fillId="0" borderId="0" xfId="4" applyNumberFormat="1" applyFont="1" applyFill="1" applyBorder="1" applyAlignment="1">
      <alignment horizontal="left" vertical="top"/>
    </xf>
    <xf numFmtId="0" fontId="3" fillId="0" borderId="0" xfId="0" applyFont="1" applyBorder="1" applyAlignment="1">
      <alignment horizontal="left"/>
    </xf>
    <xf numFmtId="0" fontId="3" fillId="0" borderId="0" xfId="0" applyFont="1" applyFill="1" applyBorder="1" applyAlignment="1">
      <alignment horizontal="left"/>
    </xf>
    <xf numFmtId="49" fontId="3" fillId="0" borderId="0" xfId="0" applyNumberFormat="1" applyFont="1" applyAlignment="1">
      <alignment horizontal="left"/>
    </xf>
    <xf numFmtId="0" fontId="3" fillId="0" borderId="0" xfId="0" applyFont="1" applyFill="1" applyBorder="1"/>
    <xf numFmtId="0" fontId="3" fillId="0" borderId="0" xfId="4" applyNumberFormat="1" applyFont="1" applyFill="1" applyBorder="1" applyAlignment="1">
      <alignment horizontal="left"/>
    </xf>
    <xf numFmtId="176" fontId="3" fillId="0" borderId="0" xfId="4" applyNumberFormat="1" applyFont="1" applyFill="1" applyBorder="1" applyAlignment="1">
      <alignment horizontal="left"/>
    </xf>
    <xf numFmtId="0" fontId="3" fillId="0" borderId="0" xfId="0" applyFont="1" applyFill="1" applyBorder="1" applyAlignment="1"/>
    <xf numFmtId="49" fontId="3" fillId="0" borderId="0" xfId="0" applyNumberFormat="1" applyFont="1" applyBorder="1" applyAlignment="1">
      <alignment horizontal="left"/>
    </xf>
    <xf numFmtId="0" fontId="17" fillId="0" borderId="0" xfId="0" applyFont="1"/>
    <xf numFmtId="49" fontId="3" fillId="0" borderId="0" xfId="4" applyNumberFormat="1" applyFont="1" applyFill="1" applyBorder="1" applyAlignment="1">
      <alignment horizontal="left"/>
    </xf>
    <xf numFmtId="0" fontId="3" fillId="0" borderId="0" xfId="4" applyNumberFormat="1" applyFont="1" applyFill="1" applyBorder="1" applyAlignment="1">
      <alignment horizontal="left" vertical="center"/>
    </xf>
    <xf numFmtId="0" fontId="3" fillId="0" borderId="0" xfId="0" applyFont="1" applyFill="1" applyAlignment="1">
      <alignment horizontal="left"/>
    </xf>
    <xf numFmtId="0" fontId="3" fillId="0" borderId="0" xfId="0" applyFont="1" applyFill="1" applyBorder="1" applyAlignment="1">
      <alignment wrapText="1"/>
    </xf>
    <xf numFmtId="0" fontId="1" fillId="0" borderId="0" xfId="0" applyFont="1"/>
    <xf numFmtId="0" fontId="23" fillId="0" borderId="0" xfId="4" applyNumberFormat="1" applyFont="1" applyFill="1" applyBorder="1" applyAlignment="1">
      <alignment horizontal="left"/>
    </xf>
    <xf numFmtId="0" fontId="3" fillId="0" borderId="0" xfId="6" applyFont="1" applyAlignment="1">
      <alignment horizontal="left"/>
    </xf>
    <xf numFmtId="0" fontId="3" fillId="0" borderId="0" xfId="7" applyFont="1" applyAlignment="1">
      <alignment horizontal="left"/>
    </xf>
    <xf numFmtId="0" fontId="3" fillId="0" borderId="0" xfId="8" applyFont="1" applyAlignment="1">
      <alignment horizontal="left"/>
    </xf>
    <xf numFmtId="0" fontId="3" fillId="0" borderId="0" xfId="9" applyFont="1" applyAlignment="1">
      <alignment horizontal="left"/>
    </xf>
    <xf numFmtId="0" fontId="3" fillId="0" borderId="0" xfId="10" applyFont="1" applyAlignment="1">
      <alignment horizontal="left"/>
    </xf>
    <xf numFmtId="0" fontId="3" fillId="0" borderId="0" xfId="11" applyFont="1" applyAlignment="1">
      <alignment horizontal="left"/>
    </xf>
    <xf numFmtId="0" fontId="1" fillId="0" borderId="0" xfId="12" applyFont="1" applyFill="1" applyBorder="1"/>
    <xf numFmtId="0" fontId="1" fillId="0" borderId="0" xfId="0" applyFont="1" applyAlignment="1">
      <alignment horizontal="left"/>
    </xf>
    <xf numFmtId="0" fontId="3" fillId="0" borderId="0" xfId="13" applyFont="1" applyAlignment="1">
      <alignment horizontal="left"/>
    </xf>
    <xf numFmtId="0" fontId="3" fillId="0" borderId="0" xfId="13" applyFont="1"/>
    <xf numFmtId="0" fontId="1" fillId="0" borderId="0" xfId="0" applyFont="1" applyBorder="1" applyAlignment="1"/>
    <xf numFmtId="0" fontId="1" fillId="0" borderId="0" xfId="1" applyFont="1" applyAlignment="1" applyProtection="1"/>
    <xf numFmtId="0" fontId="3" fillId="0" borderId="0" xfId="14" applyFont="1"/>
    <xf numFmtId="0" fontId="3" fillId="0" borderId="0" xfId="13" applyFont="1" applyFill="1" applyBorder="1"/>
    <xf numFmtId="0" fontId="24" fillId="0" borderId="0" xfId="12" applyFont="1" applyFill="1" applyBorder="1"/>
    <xf numFmtId="0" fontId="3" fillId="0" borderId="0" xfId="15" applyFont="1"/>
    <xf numFmtId="0" fontId="3" fillId="0" borderId="0" xfId="16" applyFont="1" applyFill="1" applyBorder="1" applyAlignment="1">
      <alignment horizontal="left"/>
    </xf>
    <xf numFmtId="0" fontId="1" fillId="0" borderId="0" xfId="17" applyFont="1"/>
    <xf numFmtId="0" fontId="1" fillId="0" borderId="0" xfId="12" applyFill="1" applyBorder="1"/>
    <xf numFmtId="0" fontId="3" fillId="0" borderId="0" xfId="18" applyFont="1" applyFill="1" applyBorder="1" applyAlignment="1">
      <alignment horizontal="left"/>
    </xf>
    <xf numFmtId="0" fontId="1" fillId="0" borderId="0" xfId="19" applyFont="1"/>
    <xf numFmtId="0" fontId="1" fillId="0" borderId="0" xfId="20" applyFont="1"/>
    <xf numFmtId="0" fontId="1" fillId="0" borderId="0" xfId="4" applyNumberFormat="1" applyFont="1" applyFill="1" applyBorder="1" applyAlignment="1">
      <alignment horizontal="left"/>
    </xf>
    <xf numFmtId="0" fontId="3" fillId="0" borderId="0" xfId="21" applyFont="1" applyFill="1" applyBorder="1" applyAlignment="1">
      <alignment horizontal="left"/>
    </xf>
    <xf numFmtId="0" fontId="1" fillId="0" borderId="0" xfId="22" applyFont="1"/>
    <xf numFmtId="0" fontId="1" fillId="0" borderId="0" xfId="23" applyFont="1" applyAlignment="1">
      <alignment horizontal="left"/>
    </xf>
    <xf numFmtId="0" fontId="1" fillId="0" borderId="0" xfId="24" applyFont="1"/>
    <xf numFmtId="0" fontId="1" fillId="0" borderId="0" xfId="25" applyFont="1"/>
    <xf numFmtId="0" fontId="1" fillId="0" borderId="0" xfId="26" applyFont="1"/>
    <xf numFmtId="0" fontId="1" fillId="0" borderId="0" xfId="27" applyFont="1"/>
    <xf numFmtId="0" fontId="3" fillId="0" borderId="0" xfId="28" applyFont="1" applyFill="1" applyBorder="1" applyAlignment="1">
      <alignment horizontal="left"/>
    </xf>
    <xf numFmtId="0" fontId="3" fillId="0" borderId="0" xfId="29" applyFont="1" applyFill="1" applyBorder="1" applyAlignment="1">
      <alignment horizontal="left"/>
    </xf>
    <xf numFmtId="0" fontId="3" fillId="0" borderId="0" xfId="30" applyFont="1" applyFill="1" applyBorder="1" applyAlignment="1">
      <alignment horizontal="left"/>
    </xf>
    <xf numFmtId="0" fontId="1" fillId="0" borderId="0" xfId="31"/>
    <xf numFmtId="0" fontId="3" fillId="0" borderId="0" xfId="32" applyFont="1" applyFill="1" applyBorder="1" applyAlignment="1">
      <alignment horizontal="left"/>
    </xf>
    <xf numFmtId="0" fontId="1" fillId="0" borderId="0" xfId="0" applyFont="1" applyFill="1" applyBorder="1" applyAlignment="1"/>
    <xf numFmtId="0" fontId="3" fillId="0" borderId="0" xfId="33" applyFont="1" applyFill="1" applyBorder="1" applyAlignment="1">
      <alignment horizontal="left"/>
    </xf>
    <xf numFmtId="0" fontId="1" fillId="0" borderId="0" xfId="34" applyFont="1"/>
    <xf numFmtId="0" fontId="1" fillId="0" borderId="0" xfId="35" applyFont="1"/>
    <xf numFmtId="0" fontId="1" fillId="0" borderId="0" xfId="36" applyFont="1"/>
    <xf numFmtId="0" fontId="3" fillId="0" borderId="0" xfId="37" applyFont="1" applyFill="1" applyBorder="1" applyAlignment="1">
      <alignment horizontal="left"/>
    </xf>
    <xf numFmtId="0" fontId="0" fillId="0" borderId="0" xfId="0" applyAlignment="1">
      <alignment horizontal="center"/>
    </xf>
    <xf numFmtId="0" fontId="0" fillId="0" borderId="0" xfId="0" applyAlignment="1">
      <alignment horizontal="center"/>
    </xf>
    <xf numFmtId="49" fontId="3" fillId="0" borderId="0" xfId="30" applyNumberFormat="1" applyFont="1" applyAlignment="1">
      <alignment horizontal="left" vertical="center"/>
    </xf>
    <xf numFmtId="49" fontId="6" fillId="0" borderId="0" xfId="30" applyNumberFormat="1" applyFont="1" applyAlignment="1">
      <alignment horizontal="left" vertical="center"/>
    </xf>
    <xf numFmtId="0" fontId="3" fillId="0" borderId="0" xfId="30" applyFont="1" applyAlignment="1">
      <alignment horizontal="left" vertical="center" indent="1"/>
    </xf>
    <xf numFmtId="49" fontId="3" fillId="0" borderId="0" xfId="30" applyNumberFormat="1" applyFont="1" applyAlignment="1">
      <alignment horizontal="left" vertical="center" wrapText="1"/>
    </xf>
    <xf numFmtId="49" fontId="3" fillId="0" borderId="0" xfId="30" applyNumberFormat="1" applyFont="1" applyBorder="1" applyAlignment="1">
      <alignment horizontal="left" vertical="center" wrapText="1"/>
    </xf>
    <xf numFmtId="0" fontId="1" fillId="0" borderId="0" xfId="30" applyBorder="1" applyAlignment="1">
      <alignment horizontal="left" vertical="center" wrapText="1"/>
    </xf>
    <xf numFmtId="0" fontId="8" fillId="0" borderId="1" xfId="30" applyFont="1" applyBorder="1" applyAlignment="1">
      <alignment horizontal="left" vertical="center"/>
    </xf>
    <xf numFmtId="49" fontId="8" fillId="0" borderId="1" xfId="30" applyNumberFormat="1" applyFont="1" applyBorder="1" applyAlignment="1">
      <alignment horizontal="left" vertical="center"/>
    </xf>
    <xf numFmtId="49" fontId="2" fillId="0" borderId="12" xfId="30" applyNumberFormat="1" applyFont="1" applyBorder="1" applyAlignment="1">
      <alignment horizontal="left" vertical="center"/>
    </xf>
    <xf numFmtId="49" fontId="3" fillId="0" borderId="12" xfId="30" applyNumberFormat="1" applyFont="1" applyBorder="1" applyAlignment="1">
      <alignment horizontal="left" vertical="center" wrapText="1"/>
    </xf>
    <xf numFmtId="49" fontId="3" fillId="0" borderId="1" xfId="30" applyNumberFormat="1" applyFont="1" applyBorder="1" applyAlignment="1">
      <alignment horizontal="left" vertical="center"/>
    </xf>
    <xf numFmtId="2" fontId="3" fillId="0" borderId="1" xfId="30" applyNumberFormat="1" applyFont="1" applyBorder="1" applyAlignment="1">
      <alignment horizontal="left" vertical="center" wrapText="1"/>
    </xf>
    <xf numFmtId="49" fontId="3" fillId="0" borderId="1" xfId="30" applyNumberFormat="1" applyFont="1" applyBorder="1" applyAlignment="1">
      <alignment horizontal="left" vertical="center" wrapText="1"/>
    </xf>
    <xf numFmtId="49" fontId="3" fillId="0" borderId="15" xfId="30" applyNumberFormat="1" applyFont="1" applyBorder="1" applyAlignment="1">
      <alignment horizontal="left" vertical="center"/>
    </xf>
    <xf numFmtId="2" fontId="3" fillId="0" borderId="15" xfId="30" applyNumberFormat="1" applyFont="1" applyBorder="1" applyAlignment="1">
      <alignment horizontal="left" vertical="center" wrapText="1"/>
    </xf>
    <xf numFmtId="49" fontId="3" fillId="0" borderId="7" xfId="30" applyNumberFormat="1" applyFont="1" applyBorder="1" applyAlignment="1">
      <alignment horizontal="left" vertical="center"/>
    </xf>
    <xf numFmtId="49" fontId="3" fillId="0" borderId="8" xfId="30" applyNumberFormat="1" applyFont="1" applyBorder="1" applyAlignment="1">
      <alignment horizontal="left" vertical="center" wrapText="1"/>
    </xf>
    <xf numFmtId="49" fontId="3" fillId="0" borderId="3" xfId="30" applyNumberFormat="1" applyFont="1" applyBorder="1" applyAlignment="1">
      <alignment horizontal="left" vertical="center"/>
    </xf>
    <xf numFmtId="49" fontId="3" fillId="0" borderId="13" xfId="30" applyNumberFormat="1" applyFont="1" applyBorder="1" applyAlignment="1">
      <alignment horizontal="left" vertical="center"/>
    </xf>
    <xf numFmtId="49" fontId="3" fillId="0" borderId="2" xfId="30" applyNumberFormat="1" applyFont="1" applyBorder="1" applyAlignment="1">
      <alignment horizontal="left" vertical="center" wrapText="1"/>
    </xf>
    <xf numFmtId="49" fontId="3" fillId="0" borderId="2" xfId="30" applyNumberFormat="1" applyFont="1" applyBorder="1" applyAlignment="1">
      <alignment horizontal="left" vertical="center"/>
    </xf>
    <xf numFmtId="49" fontId="3" fillId="0" borderId="4" xfId="30" applyNumberFormat="1" applyFont="1" applyBorder="1" applyAlignment="1">
      <alignment horizontal="left" vertical="center"/>
    </xf>
    <xf numFmtId="49" fontId="3" fillId="0" borderId="12" xfId="30" applyNumberFormat="1" applyFont="1" applyBorder="1" applyAlignment="1">
      <alignment horizontal="left" vertical="center"/>
    </xf>
    <xf numFmtId="49" fontId="3" fillId="0" borderId="6" xfId="30" applyNumberFormat="1" applyFont="1" applyBorder="1" applyAlignment="1">
      <alignment horizontal="left" vertical="center"/>
    </xf>
    <xf numFmtId="0" fontId="1" fillId="0" borderId="0" xfId="30" applyProtection="1"/>
    <xf numFmtId="0" fontId="8" fillId="0" borderId="0" xfId="30" applyFont="1" applyProtection="1"/>
    <xf numFmtId="0" fontId="2" fillId="0" borderId="0" xfId="30" applyFont="1" applyFill="1" applyAlignment="1" applyProtection="1">
      <alignment horizontal="center"/>
    </xf>
    <xf numFmtId="0" fontId="6" fillId="2" borderId="1" xfId="30" applyFont="1" applyFill="1" applyBorder="1" applyAlignment="1" applyProtection="1">
      <alignment horizontal="center"/>
    </xf>
    <xf numFmtId="0" fontId="1" fillId="0" borderId="3" xfId="30" applyBorder="1" applyProtection="1"/>
    <xf numFmtId="0" fontId="1" fillId="0" borderId="0" xfId="30" applyBorder="1" applyProtection="1"/>
    <xf numFmtId="0" fontId="6" fillId="0" borderId="1" xfId="30" applyFont="1" applyFill="1" applyBorder="1" applyAlignment="1" applyProtection="1">
      <alignment horizontal="center"/>
    </xf>
    <xf numFmtId="0" fontId="1" fillId="0" borderId="0" xfId="30" applyFill="1" applyBorder="1" applyAlignment="1" applyProtection="1"/>
    <xf numFmtId="0" fontId="21" fillId="4" borderId="1" xfId="30" applyFont="1" applyFill="1" applyBorder="1" applyAlignment="1" applyProtection="1">
      <alignment horizontal="center"/>
    </xf>
    <xf numFmtId="0" fontId="8" fillId="17" borderId="15" xfId="30" applyFont="1" applyFill="1" applyBorder="1" applyAlignment="1" applyProtection="1">
      <alignment horizontal="left"/>
    </xf>
    <xf numFmtId="0" fontId="8" fillId="17" borderId="15" xfId="30" applyFont="1" applyFill="1" applyBorder="1" applyAlignment="1" applyProtection="1">
      <alignment horizontal="center"/>
    </xf>
    <xf numFmtId="0" fontId="8" fillId="17" borderId="1" xfId="30" applyFont="1" applyFill="1" applyBorder="1" applyAlignment="1" applyProtection="1">
      <alignment horizontal="center"/>
    </xf>
    <xf numFmtId="0" fontId="1" fillId="0" borderId="1" xfId="30" applyBorder="1" applyProtection="1"/>
    <xf numFmtId="0" fontId="25" fillId="5" borderId="1" xfId="30" applyFont="1" applyFill="1" applyBorder="1" applyAlignment="1" applyProtection="1">
      <alignment horizontal="left" vertical="top" wrapText="1"/>
    </xf>
    <xf numFmtId="0" fontId="8" fillId="0" borderId="1" xfId="30" applyFont="1" applyFill="1" applyBorder="1" applyAlignment="1" applyProtection="1">
      <alignment horizontal="center"/>
    </xf>
    <xf numFmtId="0" fontId="29" fillId="0" borderId="1" xfId="1" applyFont="1" applyFill="1" applyBorder="1" applyAlignment="1" applyProtection="1">
      <alignment horizontal="left" vertical="top" wrapText="1"/>
    </xf>
    <xf numFmtId="0" fontId="9" fillId="14" borderId="1" xfId="30" applyFont="1" applyFill="1" applyBorder="1" applyAlignment="1" applyProtection="1">
      <alignment horizontal="center"/>
    </xf>
    <xf numFmtId="0" fontId="15" fillId="14" borderId="1" xfId="30" applyFont="1" applyFill="1" applyBorder="1" applyAlignment="1" applyProtection="1">
      <alignment horizontal="center"/>
    </xf>
    <xf numFmtId="0" fontId="2" fillId="0" borderId="1" xfId="30" applyFont="1" applyFill="1" applyBorder="1" applyAlignment="1" applyProtection="1">
      <alignment horizontal="center"/>
    </xf>
    <xf numFmtId="0" fontId="1" fillId="0" borderId="0" xfId="30" applyFill="1" applyProtection="1"/>
    <xf numFmtId="0" fontId="15" fillId="14" borderId="1" xfId="1" applyFont="1" applyFill="1" applyBorder="1" applyAlignment="1" applyProtection="1">
      <alignment horizontal="center"/>
    </xf>
    <xf numFmtId="0" fontId="15" fillId="14" borderId="1" xfId="30" applyFont="1" applyFill="1" applyBorder="1" applyAlignment="1" applyProtection="1">
      <alignment horizontal="center" vertical="center"/>
    </xf>
    <xf numFmtId="0" fontId="25" fillId="5" borderId="1" xfId="1" applyFont="1" applyFill="1" applyBorder="1" applyAlignment="1" applyProtection="1">
      <alignment horizontal="left" vertical="top" wrapText="1"/>
    </xf>
    <xf numFmtId="0" fontId="25" fillId="0" borderId="1" xfId="30" applyFont="1" applyFill="1" applyBorder="1" applyAlignment="1" applyProtection="1">
      <alignment horizontal="center"/>
    </xf>
    <xf numFmtId="0" fontId="29" fillId="0" borderId="1" xfId="30" applyFont="1" applyFill="1" applyBorder="1" applyAlignment="1" applyProtection="1">
      <alignment horizontal="center"/>
    </xf>
    <xf numFmtId="0" fontId="29" fillId="18" borderId="1" xfId="1" applyFont="1" applyFill="1" applyBorder="1" applyAlignment="1" applyProtection="1">
      <alignment horizontal="left" vertical="top" wrapText="1"/>
    </xf>
    <xf numFmtId="0" fontId="1" fillId="0" borderId="1" xfId="30" applyBorder="1" applyAlignment="1" applyProtection="1">
      <alignment horizontal="center"/>
    </xf>
    <xf numFmtId="0" fontId="30" fillId="18" borderId="1" xfId="1" applyFont="1" applyFill="1" applyBorder="1" applyAlignment="1" applyProtection="1">
      <alignment horizontal="left" vertical="top" wrapText="1"/>
    </xf>
    <xf numFmtId="0" fontId="2" fillId="0" borderId="0" xfId="30" applyFont="1" applyFill="1" applyBorder="1" applyAlignment="1" applyProtection="1">
      <alignment horizontal="left"/>
    </xf>
    <xf numFmtId="0" fontId="3" fillId="0" borderId="0" xfId="30" applyFont="1" applyBorder="1" applyAlignment="1" applyProtection="1">
      <alignment horizontal="left" indent="1"/>
    </xf>
    <xf numFmtId="0" fontId="8" fillId="6" borderId="9" xfId="30" applyFont="1" applyFill="1" applyBorder="1" applyAlignment="1" applyProtection="1">
      <alignment horizontal="left" indent="1"/>
    </xf>
    <xf numFmtId="0" fontId="1" fillId="6" borderId="10" xfId="30" applyFill="1" applyBorder="1" applyProtection="1"/>
    <xf numFmtId="0" fontId="1" fillId="6" borderId="11" xfId="30" applyFill="1" applyBorder="1" applyProtection="1"/>
    <xf numFmtId="0" fontId="13" fillId="0" borderId="0" xfId="30" applyFont="1" applyAlignment="1" applyProtection="1">
      <alignment horizontal="right" indent="1"/>
    </xf>
    <xf numFmtId="0" fontId="2" fillId="0" borderId="12" xfId="30" applyFont="1" applyBorder="1" applyAlignment="1" applyProtection="1">
      <alignment horizontal="center"/>
    </xf>
    <xf numFmtId="0" fontId="2" fillId="0" borderId="1" xfId="30" applyFont="1" applyBorder="1" applyAlignment="1" applyProtection="1">
      <alignment horizontal="center"/>
    </xf>
    <xf numFmtId="0" fontId="3" fillId="0" borderId="0" xfId="30" applyFont="1" applyAlignment="1" applyProtection="1">
      <alignment horizontal="left" indent="1"/>
    </xf>
    <xf numFmtId="0" fontId="13" fillId="7" borderId="1" xfId="30" applyFont="1" applyFill="1" applyBorder="1" applyAlignment="1" applyProtection="1">
      <alignment horizontal="right" indent="1"/>
    </xf>
    <xf numFmtId="0" fontId="11" fillId="0" borderId="1" xfId="30" applyFont="1" applyBorder="1" applyAlignment="1" applyProtection="1">
      <alignment horizontal="center"/>
    </xf>
    <xf numFmtId="0" fontId="8" fillId="0" borderId="1" xfId="30" applyFont="1" applyBorder="1" applyAlignment="1" applyProtection="1">
      <alignment horizontal="center"/>
    </xf>
    <xf numFmtId="176" fontId="8" fillId="0" borderId="1" xfId="30" applyNumberFormat="1" applyFont="1" applyBorder="1" applyAlignment="1" applyProtection="1">
      <alignment horizontal="center"/>
    </xf>
    <xf numFmtId="0" fontId="13" fillId="8" borderId="1" xfId="30" applyFont="1" applyFill="1" applyBorder="1" applyAlignment="1" applyProtection="1">
      <alignment horizontal="right" indent="1"/>
    </xf>
    <xf numFmtId="0" fontId="12" fillId="0" borderId="1" xfId="30" applyFont="1" applyBorder="1" applyAlignment="1" applyProtection="1">
      <alignment horizontal="center"/>
    </xf>
    <xf numFmtId="0" fontId="16" fillId="0" borderId="1" xfId="30" applyFont="1" applyBorder="1" applyAlignment="1" applyProtection="1">
      <alignment horizontal="center"/>
    </xf>
    <xf numFmtId="176" fontId="16" fillId="0" borderId="1" xfId="30" applyNumberFormat="1" applyFont="1" applyBorder="1" applyAlignment="1" applyProtection="1">
      <alignment horizontal="center"/>
    </xf>
    <xf numFmtId="0" fontId="13" fillId="9" borderId="1" xfId="30" applyFont="1" applyFill="1" applyBorder="1" applyAlignment="1" applyProtection="1">
      <alignment horizontal="right" indent="1"/>
    </xf>
    <xf numFmtId="0" fontId="13" fillId="10" borderId="1" xfId="30" applyFont="1" applyFill="1" applyBorder="1" applyAlignment="1" applyProtection="1">
      <alignment horizontal="right" indent="1"/>
    </xf>
    <xf numFmtId="0" fontId="14" fillId="11" borderId="1" xfId="30" applyFont="1" applyFill="1" applyBorder="1" applyAlignment="1" applyProtection="1">
      <alignment horizontal="right" indent="1"/>
    </xf>
    <xf numFmtId="0" fontId="1" fillId="0" borderId="0" xfId="30" applyAlignment="1" applyProtection="1">
      <alignment horizontal="center"/>
    </xf>
    <xf numFmtId="0" fontId="13" fillId="12" borderId="1" xfId="30" applyFont="1" applyFill="1" applyBorder="1" applyAlignment="1" applyProtection="1">
      <alignment horizontal="right" indent="1"/>
    </xf>
    <xf numFmtId="0" fontId="13" fillId="13" borderId="1" xfId="30" applyFont="1" applyFill="1" applyBorder="1" applyAlignment="1" applyProtection="1">
      <alignment horizontal="right" indent="1"/>
    </xf>
    <xf numFmtId="0" fontId="8" fillId="0" borderId="0" xfId="30" applyFont="1" applyAlignment="1" applyProtection="1">
      <alignment vertical="center"/>
    </xf>
    <xf numFmtId="0" fontId="2" fillId="0" borderId="0" xfId="30" applyFont="1" applyFill="1" applyAlignment="1" applyProtection="1">
      <alignment horizontal="center" vertical="center"/>
    </xf>
    <xf numFmtId="0" fontId="6" fillId="2" borderId="1" xfId="30" applyFont="1" applyFill="1" applyBorder="1" applyAlignment="1" applyProtection="1">
      <alignment horizontal="center" vertical="center"/>
    </xf>
    <xf numFmtId="0" fontId="1" fillId="0" borderId="0" xfId="30" applyBorder="1" applyAlignment="1" applyProtection="1">
      <alignment vertical="center"/>
    </xf>
    <xf numFmtId="0" fontId="6" fillId="0" borderId="1" xfId="30" applyFont="1" applyFill="1" applyBorder="1" applyAlignment="1" applyProtection="1">
      <alignment horizontal="center" vertical="center"/>
    </xf>
    <xf numFmtId="0" fontId="1" fillId="0" borderId="0" xfId="30" applyFill="1" applyBorder="1" applyAlignment="1" applyProtection="1">
      <alignment vertical="center"/>
    </xf>
    <xf numFmtId="0" fontId="21" fillId="4" borderId="1" xfId="30" applyFont="1" applyFill="1" applyBorder="1" applyAlignment="1" applyProtection="1">
      <alignment horizontal="center" vertical="center"/>
    </xf>
    <xf numFmtId="0" fontId="25" fillId="5" borderId="1" xfId="30" applyFont="1" applyFill="1" applyBorder="1" applyAlignment="1" applyProtection="1">
      <alignment horizontal="left" vertical="center" wrapText="1"/>
    </xf>
    <xf numFmtId="0" fontId="25" fillId="0" borderId="1" xfId="30" applyFont="1" applyFill="1" applyBorder="1" applyAlignment="1" applyProtection="1">
      <alignment horizontal="center" vertical="center"/>
    </xf>
    <xf numFmtId="0" fontId="29" fillId="0" borderId="1" xfId="1" applyFont="1" applyFill="1" applyBorder="1" applyAlignment="1" applyProtection="1">
      <alignment horizontal="left" vertical="center" wrapText="1"/>
    </xf>
    <xf numFmtId="0" fontId="9" fillId="14" borderId="1" xfId="30" applyFont="1" applyFill="1" applyBorder="1" applyAlignment="1" applyProtection="1">
      <alignment horizontal="center" vertical="center"/>
    </xf>
    <xf numFmtId="0" fontId="2" fillId="0" borderId="0" xfId="1" applyFont="1" applyFill="1" applyBorder="1" applyAlignment="1" applyProtection="1">
      <alignment horizontal="center" vertical="center"/>
    </xf>
    <xf numFmtId="0" fontId="29" fillId="18" borderId="1" xfId="1" applyFont="1" applyFill="1" applyBorder="1" applyAlignment="1" applyProtection="1">
      <alignment horizontal="left" vertical="center" wrapText="1"/>
    </xf>
    <xf numFmtId="0" fontId="2" fillId="0" borderId="1" xfId="30" applyFont="1" applyFill="1" applyBorder="1" applyAlignment="1" applyProtection="1">
      <alignment horizontal="center" vertical="center"/>
    </xf>
    <xf numFmtId="0" fontId="1" fillId="0" borderId="3" xfId="30" applyFill="1" applyBorder="1" applyAlignment="1" applyProtection="1">
      <alignment vertical="center"/>
    </xf>
    <xf numFmtId="0" fontId="1" fillId="0" borderId="0" xfId="30" applyFill="1" applyAlignment="1" applyProtection="1">
      <alignment vertical="center"/>
    </xf>
    <xf numFmtId="0" fontId="15" fillId="14" borderId="1" xfId="38" applyFont="1" applyFill="1" applyBorder="1" applyAlignment="1" applyProtection="1">
      <alignment horizontal="center" vertical="center"/>
    </xf>
    <xf numFmtId="0" fontId="25" fillId="5" borderId="1" xfId="1" applyFont="1" applyFill="1" applyBorder="1" applyAlignment="1" applyProtection="1">
      <alignment horizontal="left" vertical="center" wrapText="1"/>
    </xf>
    <xf numFmtId="0" fontId="31" fillId="0" borderId="1" xfId="30" applyFont="1" applyFill="1" applyBorder="1" applyAlignment="1" applyProtection="1">
      <alignment horizontal="center" vertical="center"/>
    </xf>
    <xf numFmtId="0" fontId="32" fillId="0" borderId="1" xfId="30" applyFont="1" applyFill="1" applyBorder="1" applyAlignment="1" applyProtection="1">
      <alignment horizontal="center" vertical="center"/>
    </xf>
    <xf numFmtId="0" fontId="33" fillId="0" borderId="1" xfId="30" applyFont="1" applyFill="1" applyBorder="1" applyAlignment="1" applyProtection="1">
      <alignment horizontal="center" vertical="center"/>
    </xf>
    <xf numFmtId="0" fontId="2" fillId="16" borderId="1" xfId="30" applyFont="1" applyFill="1" applyBorder="1" applyAlignment="1" applyProtection="1">
      <alignment horizontal="center" vertical="center"/>
    </xf>
    <xf numFmtId="0" fontId="34" fillId="18" borderId="1" xfId="1" applyFont="1" applyFill="1" applyBorder="1" applyAlignment="1" applyProtection="1">
      <alignment horizontal="left" vertical="center" wrapText="1"/>
    </xf>
    <xf numFmtId="0" fontId="23" fillId="14" borderId="1" xfId="30" applyFont="1" applyFill="1" applyBorder="1" applyAlignment="1" applyProtection="1">
      <alignment horizontal="center" vertical="center"/>
    </xf>
    <xf numFmtId="0" fontId="34" fillId="0" borderId="1" xfId="1" applyFont="1" applyFill="1" applyBorder="1" applyAlignment="1" applyProtection="1">
      <alignment horizontal="left" vertical="center" wrapText="1"/>
    </xf>
    <xf numFmtId="0" fontId="29" fillId="19" borderId="1" xfId="1" applyFont="1" applyFill="1" applyBorder="1" applyAlignment="1" applyProtection="1">
      <alignment horizontal="left" vertical="center" wrapText="1"/>
    </xf>
    <xf numFmtId="0" fontId="29" fillId="0" borderId="1" xfId="1" applyFont="1" applyFill="1" applyBorder="1" applyAlignment="1" applyProtection="1">
      <alignment vertical="center" wrapText="1"/>
    </xf>
    <xf numFmtId="0" fontId="33" fillId="0" borderId="1" xfId="30" applyFont="1" applyFill="1" applyBorder="1" applyAlignment="1" applyProtection="1">
      <alignment horizontal="center"/>
    </xf>
    <xf numFmtId="0" fontId="2" fillId="0" borderId="0" xfId="30" applyFont="1" applyFill="1" applyBorder="1" applyAlignment="1" applyProtection="1">
      <alignment horizontal="left" vertical="center"/>
    </xf>
    <xf numFmtId="0" fontId="3" fillId="0" borderId="0" xfId="30" applyFont="1" applyBorder="1" applyAlignment="1" applyProtection="1">
      <alignment horizontal="left" vertical="center"/>
    </xf>
    <xf numFmtId="0" fontId="8" fillId="6" borderId="9" xfId="30" applyFont="1" applyFill="1" applyBorder="1" applyAlignment="1" applyProtection="1">
      <alignment horizontal="left" vertical="center"/>
    </xf>
    <xf numFmtId="0" fontId="1" fillId="6" borderId="10" xfId="30" applyFill="1" applyBorder="1" applyAlignment="1" applyProtection="1">
      <alignment vertical="center"/>
    </xf>
    <xf numFmtId="0" fontId="1" fillId="6" borderId="11" xfId="30" applyFill="1" applyBorder="1" applyAlignment="1" applyProtection="1">
      <alignment vertical="center"/>
    </xf>
    <xf numFmtId="0" fontId="13" fillId="0" borderId="0" xfId="30" applyFont="1" applyAlignment="1" applyProtection="1">
      <alignment horizontal="right" vertical="center"/>
    </xf>
    <xf numFmtId="0" fontId="2" fillId="0" borderId="12" xfId="30" applyFont="1" applyBorder="1" applyAlignment="1" applyProtection="1">
      <alignment horizontal="center" vertical="center"/>
    </xf>
    <xf numFmtId="0" fontId="2" fillId="0" borderId="1" xfId="30" applyFont="1" applyBorder="1" applyAlignment="1" applyProtection="1">
      <alignment horizontal="center" vertical="center"/>
    </xf>
    <xf numFmtId="0" fontId="3" fillId="0" borderId="0" xfId="30" applyFont="1" applyAlignment="1" applyProtection="1">
      <alignment horizontal="left" vertical="center"/>
    </xf>
    <xf numFmtId="0" fontId="13" fillId="7" borderId="1" xfId="30" applyFont="1" applyFill="1" applyBorder="1" applyAlignment="1" applyProtection="1">
      <alignment horizontal="right" vertical="center"/>
    </xf>
    <xf numFmtId="0" fontId="11" fillId="0" borderId="1" xfId="30" applyFont="1" applyBorder="1" applyAlignment="1" applyProtection="1">
      <alignment horizontal="center" vertical="center"/>
    </xf>
    <xf numFmtId="0" fontId="1" fillId="0" borderId="1" xfId="30" applyBorder="1" applyAlignment="1" applyProtection="1">
      <alignment horizontal="center" vertical="center"/>
    </xf>
    <xf numFmtId="0" fontId="8" fillId="0" borderId="1" xfId="30" applyFont="1" applyBorder="1" applyAlignment="1" applyProtection="1">
      <alignment horizontal="center" vertical="center"/>
    </xf>
    <xf numFmtId="176" fontId="8" fillId="0" borderId="1" xfId="30" applyNumberFormat="1" applyFont="1" applyBorder="1" applyAlignment="1" applyProtection="1">
      <alignment horizontal="center" vertical="center"/>
    </xf>
    <xf numFmtId="0" fontId="13" fillId="8" borderId="1" xfId="30" applyFont="1" applyFill="1" applyBorder="1" applyAlignment="1" applyProtection="1">
      <alignment horizontal="right" vertical="center"/>
    </xf>
    <xf numFmtId="0" fontId="12" fillId="0" borderId="1" xfId="30" applyFont="1" applyBorder="1" applyAlignment="1" applyProtection="1">
      <alignment horizontal="center" vertical="center"/>
    </xf>
    <xf numFmtId="0" fontId="16" fillId="0" borderId="1" xfId="30" applyFont="1" applyBorder="1" applyAlignment="1" applyProtection="1">
      <alignment horizontal="center" vertical="center"/>
    </xf>
    <xf numFmtId="176" fontId="16" fillId="0" borderId="1" xfId="30" applyNumberFormat="1" applyFont="1" applyBorder="1" applyAlignment="1" applyProtection="1">
      <alignment horizontal="center" vertical="center"/>
    </xf>
    <xf numFmtId="0" fontId="13" fillId="9" borderId="1" xfId="30" applyFont="1" applyFill="1" applyBorder="1" applyAlignment="1" applyProtection="1">
      <alignment horizontal="right" vertical="center"/>
    </xf>
    <xf numFmtId="0" fontId="13" fillId="10" borderId="1" xfId="30" applyFont="1" applyFill="1" applyBorder="1" applyAlignment="1" applyProtection="1">
      <alignment horizontal="right" vertical="center"/>
    </xf>
    <xf numFmtId="0" fontId="14" fillId="11" borderId="1" xfId="30" applyFont="1" applyFill="1" applyBorder="1" applyAlignment="1" applyProtection="1">
      <alignment horizontal="right" vertical="center"/>
    </xf>
    <xf numFmtId="0" fontId="1" fillId="0" borderId="0" xfId="30" applyAlignment="1" applyProtection="1">
      <alignment horizontal="center" vertical="center"/>
    </xf>
    <xf numFmtId="0" fontId="13" fillId="12" borderId="1" xfId="30" applyFont="1" applyFill="1" applyBorder="1" applyAlignment="1" applyProtection="1">
      <alignment horizontal="right" vertical="center"/>
    </xf>
    <xf numFmtId="0" fontId="13" fillId="13" borderId="1" xfId="30" applyFont="1" applyFill="1" applyBorder="1" applyAlignment="1" applyProtection="1">
      <alignment horizontal="right" vertical="center"/>
    </xf>
    <xf numFmtId="0" fontId="15" fillId="14" borderId="1" xfId="38" applyFont="1" applyFill="1" applyBorder="1" applyAlignment="1" applyProtection="1">
      <alignment horizontal="center"/>
    </xf>
    <xf numFmtId="0" fontId="31" fillId="0" borderId="1" xfId="30" applyFont="1" applyFill="1" applyBorder="1" applyAlignment="1" applyProtection="1">
      <alignment horizontal="center"/>
    </xf>
    <xf numFmtId="0" fontId="32" fillId="0" borderId="1" xfId="30" applyFont="1" applyFill="1" applyBorder="1" applyAlignment="1" applyProtection="1">
      <alignment horizontal="center"/>
    </xf>
    <xf numFmtId="0" fontId="29" fillId="0" borderId="1" xfId="1" applyFont="1" applyFill="1" applyBorder="1" applyAlignment="1" applyProtection="1">
      <alignment wrapText="1"/>
    </xf>
    <xf numFmtId="0" fontId="33" fillId="19" borderId="1" xfId="30" applyFont="1" applyFill="1" applyBorder="1" applyAlignment="1" applyProtection="1">
      <alignment horizontal="center" vertical="center"/>
    </xf>
    <xf numFmtId="0" fontId="1" fillId="19" borderId="3" xfId="30" applyFill="1" applyBorder="1" applyAlignment="1" applyProtection="1">
      <alignment vertical="center"/>
    </xf>
    <xf numFmtId="0" fontId="1" fillId="19" borderId="0" xfId="30" applyFill="1" applyAlignment="1" applyProtection="1">
      <alignment vertical="center"/>
    </xf>
    <xf numFmtId="0" fontId="29" fillId="19" borderId="1" xfId="1" applyFont="1" applyFill="1" applyBorder="1" applyAlignment="1" applyProtection="1">
      <alignment vertical="center" wrapText="1"/>
    </xf>
    <xf numFmtId="0" fontId="29" fillId="19" borderId="11" xfId="1" applyFont="1" applyFill="1" applyBorder="1" applyAlignment="1" applyProtection="1">
      <alignment vertical="center" wrapText="1"/>
    </xf>
    <xf numFmtId="0" fontId="29" fillId="0" borderId="1" xfId="30" applyFont="1" applyFill="1" applyBorder="1" applyAlignment="1" applyProtection="1">
      <alignment vertical="center" wrapText="1"/>
    </xf>
    <xf numFmtId="0" fontId="29" fillId="0" borderId="1" xfId="30" applyFont="1" applyFill="1" applyBorder="1" applyAlignment="1" applyProtection="1">
      <alignment horizontal="left" vertical="center" wrapText="1"/>
    </xf>
    <xf numFmtId="0" fontId="29" fillId="0" borderId="1" xfId="1" applyFont="1" applyBorder="1" applyAlignment="1" applyProtection="1">
      <alignment horizontal="left" vertical="center" wrapText="1"/>
    </xf>
    <xf numFmtId="0" fontId="6" fillId="2" borderId="1" xfId="38" applyFont="1" applyFill="1" applyBorder="1" applyAlignment="1">
      <alignment horizontal="left"/>
    </xf>
    <xf numFmtId="0" fontId="1" fillId="0" borderId="0" xfId="38"/>
    <xf numFmtId="0" fontId="1" fillId="0" borderId="0" xfId="0" applyFont="1" applyFill="1" applyBorder="1"/>
    <xf numFmtId="0" fontId="1" fillId="0" borderId="0" xfId="30" applyFont="1" applyAlignment="1" applyProtection="1">
      <alignment vertical="center"/>
    </xf>
    <xf numFmtId="0" fontId="1" fillId="0" borderId="3" xfId="30" applyFont="1" applyBorder="1" applyAlignment="1" applyProtection="1">
      <alignment vertical="center"/>
    </xf>
    <xf numFmtId="177" fontId="3" fillId="0" borderId="1" xfId="30" applyNumberFormat="1" applyFont="1" applyBorder="1" applyAlignment="1">
      <alignment horizontal="left" vertical="center" wrapText="1"/>
    </xf>
    <xf numFmtId="0" fontId="29" fillId="19" borderId="1" xfId="1" applyFont="1" applyFill="1" applyBorder="1" applyAlignment="1" applyProtection="1">
      <alignment horizontal="left" vertical="top" wrapText="1"/>
    </xf>
    <xf numFmtId="11" fontId="3" fillId="0" borderId="1" xfId="30" applyNumberFormat="1" applyFont="1" applyBorder="1" applyAlignment="1">
      <alignment horizontal="left" vertical="center" wrapText="1"/>
    </xf>
    <xf numFmtId="0" fontId="29" fillId="0" borderId="1" xfId="1" applyFont="1" applyFill="1" applyBorder="1" applyAlignment="1" applyProtection="1"/>
    <xf numFmtId="0" fontId="1" fillId="0" borderId="1" xfId="30" applyFill="1" applyBorder="1" applyAlignment="1" applyProtection="1">
      <alignment vertical="center"/>
    </xf>
    <xf numFmtId="178" fontId="3" fillId="0" borderId="1" xfId="30" applyNumberFormat="1" applyFont="1" applyBorder="1" applyAlignment="1">
      <alignment horizontal="left" vertical="center" wrapText="1"/>
    </xf>
    <xf numFmtId="0" fontId="1" fillId="0" borderId="1" xfId="30" applyFill="1" applyBorder="1" applyAlignment="1" applyProtection="1">
      <alignment horizontal="center"/>
    </xf>
    <xf numFmtId="0" fontId="1" fillId="0" borderId="3" xfId="30" applyFill="1" applyBorder="1" applyProtection="1"/>
    <xf numFmtId="0" fontId="4" fillId="0" borderId="1" xfId="1" applyFill="1" applyBorder="1" applyAlignment="1" applyProtection="1">
      <alignment horizontal="left" vertical="top" wrapText="1"/>
    </xf>
    <xf numFmtId="0" fontId="30" fillId="0" borderId="1" xfId="1" applyFont="1" applyFill="1" applyBorder="1" applyAlignment="1" applyProtection="1">
      <alignment horizontal="left" vertical="top" wrapText="1"/>
    </xf>
    <xf numFmtId="0" fontId="1" fillId="0" borderId="0" xfId="30" applyFont="1" applyFill="1" applyAlignment="1" applyProtection="1">
      <alignment vertical="center"/>
    </xf>
    <xf numFmtId="0" fontId="1" fillId="0" borderId="3" xfId="30" applyFont="1" applyFill="1" applyBorder="1" applyAlignment="1" applyProtection="1">
      <alignment vertical="center"/>
    </xf>
    <xf numFmtId="0" fontId="1" fillId="0" borderId="1" xfId="30" applyFont="1" applyFill="1" applyBorder="1" applyAlignment="1" applyProtection="1">
      <alignment vertical="center"/>
    </xf>
    <xf numFmtId="0" fontId="1" fillId="0" borderId="0" xfId="30" applyFont="1" applyFill="1" applyAlignment="1" applyProtection="1">
      <alignment horizontal="center"/>
    </xf>
    <xf numFmtId="0" fontId="29" fillId="0" borderId="1" xfId="1" applyFont="1" applyFill="1" applyBorder="1" applyAlignment="1" applyProtection="1">
      <alignment vertical="top" wrapText="1"/>
    </xf>
    <xf numFmtId="0" fontId="34" fillId="0" borderId="1" xfId="1" applyFont="1" applyFill="1" applyBorder="1" applyAlignment="1" applyProtection="1">
      <alignment horizontal="left" vertical="top" wrapText="1"/>
    </xf>
    <xf numFmtId="0" fontId="4" fillId="18" borderId="1" xfId="1" applyFill="1" applyBorder="1" applyAlignment="1" applyProtection="1">
      <alignment horizontal="left" vertical="top" wrapText="1"/>
    </xf>
    <xf numFmtId="0" fontId="29" fillId="0" borderId="1" xfId="30" applyFont="1" applyFill="1" applyBorder="1" applyAlignment="1" applyProtection="1">
      <alignment horizontal="center" vertical="center"/>
    </xf>
    <xf numFmtId="0" fontId="29" fillId="0" borderId="3" xfId="30" applyFont="1" applyBorder="1" applyAlignment="1" applyProtection="1">
      <alignment vertical="center"/>
    </xf>
    <xf numFmtId="0" fontId="29" fillId="0" borderId="0" xfId="30" applyFont="1" applyFill="1" applyAlignment="1" applyProtection="1">
      <alignment horizontal="center" vertical="center"/>
    </xf>
    <xf numFmtId="0" fontId="29" fillId="0" borderId="0" xfId="30" applyFont="1" applyAlignment="1" applyProtection="1">
      <alignment vertical="center"/>
    </xf>
    <xf numFmtId="0" fontId="29" fillId="0" borderId="0" xfId="30" applyFont="1" applyProtection="1"/>
    <xf numFmtId="0" fontId="29" fillId="0" borderId="3" xfId="30" applyFont="1" applyBorder="1" applyProtection="1"/>
    <xf numFmtId="0" fontId="29" fillId="0" borderId="0" xfId="30" applyFont="1" applyFill="1" applyAlignment="1" applyProtection="1">
      <alignment horizontal="center"/>
    </xf>
    <xf numFmtId="0" fontId="2" fillId="0" borderId="3" xfId="30" applyFont="1" applyFill="1" applyBorder="1" applyAlignment="1" applyProtection="1">
      <alignment horizontal="center"/>
    </xf>
    <xf numFmtId="0" fontId="4" fillId="0" borderId="1" xfId="1" applyFill="1" applyBorder="1" applyAlignment="1" applyProtection="1">
      <alignment horizontal="left" vertical="center" wrapText="1"/>
    </xf>
    <xf numFmtId="0" fontId="4" fillId="18" borderId="1" xfId="1" applyFill="1" applyBorder="1" applyAlignment="1" applyProtection="1">
      <alignment horizontal="left" vertical="center" wrapText="1"/>
    </xf>
    <xf numFmtId="0" fontId="25" fillId="19" borderId="1" xfId="30" applyFont="1" applyFill="1" applyBorder="1" applyAlignment="1" applyProtection="1">
      <alignment horizontal="left" vertical="top" wrapText="1"/>
    </xf>
    <xf numFmtId="0" fontId="4" fillId="16" borderId="1" xfId="1" applyFill="1" applyBorder="1" applyAlignment="1" applyProtection="1">
      <alignment horizontal="left" vertical="top" wrapText="1"/>
    </xf>
    <xf numFmtId="0" fontId="4" fillId="0" borderId="1" xfId="1" applyFill="1" applyBorder="1" applyAlignment="1" applyProtection="1"/>
    <xf numFmtId="0" fontId="4" fillId="0" borderId="1" xfId="1" applyFill="1" applyBorder="1" applyAlignment="1" applyProtection="1">
      <alignment vertical="top" wrapText="1"/>
    </xf>
    <xf numFmtId="0" fontId="8" fillId="16" borderId="15" xfId="30" applyFont="1" applyFill="1" applyBorder="1" applyAlignment="1" applyProtection="1">
      <alignment horizontal="left" vertical="top" wrapText="1"/>
    </xf>
    <xf numFmtId="0" fontId="8" fillId="16" borderId="15" xfId="30" applyFont="1" applyFill="1" applyBorder="1" applyAlignment="1" applyProtection="1">
      <alignment horizontal="center"/>
    </xf>
    <xf numFmtId="0" fontId="8" fillId="16" borderId="1" xfId="30" applyFont="1" applyFill="1" applyBorder="1" applyAlignment="1" applyProtection="1">
      <alignment horizontal="center"/>
    </xf>
    <xf numFmtId="0" fontId="25" fillId="17" borderId="15" xfId="30" applyFont="1" applyFill="1" applyBorder="1" applyAlignment="1" applyProtection="1">
      <alignment horizontal="left" vertical="top"/>
    </xf>
    <xf numFmtId="49" fontId="3" fillId="0" borderId="0" xfId="0" applyNumberFormat="1" applyFont="1" applyBorder="1" applyAlignment="1">
      <alignment horizontal="left" indent="1"/>
    </xf>
    <xf numFmtId="0" fontId="9" fillId="7" borderId="1" xfId="30" applyFont="1" applyFill="1" applyBorder="1" applyAlignment="1" applyProtection="1">
      <alignment horizontal="center"/>
    </xf>
    <xf numFmtId="0" fontId="15" fillId="7" borderId="1" xfId="30" applyFont="1" applyFill="1" applyBorder="1" applyAlignment="1" applyProtection="1">
      <alignment horizontal="center"/>
    </xf>
    <xf numFmtId="0" fontId="39" fillId="11" borderId="1" xfId="30" applyFont="1" applyFill="1" applyBorder="1" applyAlignment="1" applyProtection="1">
      <alignment horizontal="center"/>
    </xf>
    <xf numFmtId="0" fontId="14" fillId="11" borderId="1" xfId="30" applyFont="1" applyFill="1" applyBorder="1" applyAlignment="1" applyProtection="1">
      <alignment horizontal="center"/>
    </xf>
    <xf numFmtId="0" fontId="15" fillId="7" borderId="1" xfId="30" applyFont="1" applyFill="1" applyBorder="1" applyAlignment="1" applyProtection="1">
      <alignment horizontal="center" vertical="center"/>
    </xf>
    <xf numFmtId="0" fontId="9" fillId="8" borderId="1" xfId="30" applyFont="1" applyFill="1" applyBorder="1" applyAlignment="1" applyProtection="1">
      <alignment horizontal="center"/>
    </xf>
    <xf numFmtId="0" fontId="15" fillId="8" borderId="1" xfId="30" applyFont="1" applyFill="1" applyBorder="1" applyAlignment="1" applyProtection="1">
      <alignment horizontal="center"/>
    </xf>
    <xf numFmtId="0" fontId="15" fillId="7" borderId="1" xfId="1" applyFont="1" applyFill="1" applyBorder="1" applyAlignment="1" applyProtection="1">
      <alignment horizontal="center"/>
    </xf>
    <xf numFmtId="0" fontId="14" fillId="11" borderId="1" xfId="30" applyFont="1" applyFill="1" applyBorder="1" applyAlignment="1" applyProtection="1">
      <alignment horizontal="center" vertical="center"/>
    </xf>
    <xf numFmtId="0" fontId="14" fillId="11" borderId="1" xfId="38" applyFont="1" applyFill="1" applyBorder="1" applyAlignment="1" applyProtection="1">
      <alignment horizontal="center" vertical="center"/>
    </xf>
    <xf numFmtId="0" fontId="15" fillId="7" borderId="1" xfId="38" applyFont="1" applyFill="1" applyBorder="1" applyAlignment="1" applyProtection="1">
      <alignment horizontal="center" vertical="center"/>
    </xf>
    <xf numFmtId="0" fontId="15" fillId="10" borderId="1" xfId="30" applyFont="1" applyFill="1" applyBorder="1" applyAlignment="1" applyProtection="1">
      <alignment horizontal="center" vertical="center"/>
    </xf>
    <xf numFmtId="0" fontId="15" fillId="8" borderId="1" xfId="30" applyFont="1" applyFill="1" applyBorder="1" applyAlignment="1" applyProtection="1">
      <alignment horizontal="center" vertical="center"/>
    </xf>
    <xf numFmtId="0" fontId="15" fillId="8" borderId="1" xfId="38" applyFont="1" applyFill="1" applyBorder="1" applyAlignment="1" applyProtection="1">
      <alignment horizontal="center" vertical="center"/>
    </xf>
    <xf numFmtId="0" fontId="15" fillId="7" borderId="1" xfId="38" applyFont="1" applyFill="1" applyBorder="1" applyAlignment="1" applyProtection="1">
      <alignment horizontal="center" vertical="center" wrapText="1"/>
    </xf>
    <xf numFmtId="0" fontId="29" fillId="2" borderId="1" xfId="30" applyFont="1" applyFill="1" applyBorder="1" applyAlignment="1" applyProtection="1">
      <alignment horizontal="center"/>
    </xf>
    <xf numFmtId="0" fontId="29" fillId="0" borderId="1" xfId="30" applyFont="1" applyBorder="1" applyAlignment="1" applyProtection="1">
      <alignment horizontal="center"/>
    </xf>
    <xf numFmtId="0" fontId="1" fillId="0" borderId="1" xfId="30" applyBorder="1" applyAlignment="1" applyProtection="1">
      <alignment vertical="center"/>
    </xf>
    <xf numFmtId="0" fontId="1" fillId="0" borderId="3" xfId="30" applyBorder="1" applyAlignment="1" applyProtection="1">
      <alignment vertical="center"/>
    </xf>
    <xf numFmtId="0" fontId="1" fillId="0" borderId="0" xfId="30" applyAlignment="1" applyProtection="1">
      <alignment vertical="center"/>
    </xf>
    <xf numFmtId="0" fontId="33" fillId="2" borderId="1" xfId="30" applyFont="1" applyFill="1" applyBorder="1" applyAlignment="1" applyProtection="1">
      <alignment horizontal="center" vertical="center"/>
    </xf>
    <xf numFmtId="0" fontId="29" fillId="2" borderId="1" xfId="30" applyFont="1" applyFill="1" applyBorder="1" applyAlignment="1" applyProtection="1">
      <alignment horizontal="center" vertical="center"/>
    </xf>
    <xf numFmtId="0" fontId="1" fillId="0" borderId="0" xfId="30" applyAlignment="1" applyProtection="1"/>
    <xf numFmtId="0" fontId="33" fillId="2" borderId="1" xfId="30" applyFont="1" applyFill="1" applyBorder="1" applyAlignment="1" applyProtection="1">
      <alignment horizontal="center"/>
    </xf>
    <xf numFmtId="0" fontId="33" fillId="0" borderId="1" xfId="30" applyFont="1" applyBorder="1" applyAlignment="1" applyProtection="1">
      <alignment horizontal="center"/>
    </xf>
    <xf numFmtId="0" fontId="3" fillId="2" borderId="7" xfId="0" applyFont="1" applyFill="1" applyBorder="1" applyAlignment="1"/>
    <xf numFmtId="0" fontId="3" fillId="2" borderId="14" xfId="0" applyFont="1" applyFill="1" applyBorder="1" applyAlignment="1"/>
    <xf numFmtId="0" fontId="3" fillId="2" borderId="8" xfId="0" applyFont="1" applyFill="1" applyBorder="1" applyAlignment="1"/>
    <xf numFmtId="49" fontId="3" fillId="0" borderId="0" xfId="0" applyNumberFormat="1" applyFont="1" applyBorder="1" applyAlignment="1">
      <alignment horizontal="left" indent="1"/>
    </xf>
    <xf numFmtId="0" fontId="3" fillId="0" borderId="0" xfId="0" applyFont="1" applyBorder="1" applyAlignment="1">
      <alignment horizontal="left" indent="1"/>
    </xf>
    <xf numFmtId="0" fontId="6" fillId="0" borderId="3" xfId="0" applyFont="1" applyBorder="1" applyAlignment="1">
      <alignment horizontal="right"/>
    </xf>
    <xf numFmtId="0" fontId="6" fillId="0" borderId="0" xfId="0" applyFont="1" applyBorder="1" applyAlignment="1">
      <alignment horizontal="right"/>
    </xf>
    <xf numFmtId="0" fontId="7" fillId="0" borderId="3" xfId="0" applyFont="1" applyBorder="1" applyAlignment="1">
      <alignment horizontal="right"/>
    </xf>
    <xf numFmtId="0" fontId="7" fillId="0" borderId="0" xfId="0" applyFont="1" applyBorder="1" applyAlignment="1">
      <alignment horizontal="right"/>
    </xf>
    <xf numFmtId="0" fontId="0" fillId="0" borderId="0" xfId="0" applyBorder="1" applyAlignment="1"/>
    <xf numFmtId="49" fontId="26" fillId="15" borderId="5" xfId="30" applyNumberFormat="1" applyFont="1" applyFill="1" applyBorder="1" applyAlignment="1">
      <alignment horizontal="left" vertical="center"/>
    </xf>
    <xf numFmtId="0" fontId="8" fillId="16" borderId="9" xfId="30" applyFont="1" applyFill="1" applyBorder="1" applyAlignment="1">
      <alignment horizontal="center" vertical="center"/>
    </xf>
    <xf numFmtId="0" fontId="8" fillId="16" borderId="10" xfId="30" applyFont="1" applyFill="1" applyBorder="1" applyAlignment="1">
      <alignment horizontal="center" vertical="center"/>
    </xf>
    <xf numFmtId="0" fontId="8" fillId="16" borderId="11" xfId="30" applyFont="1" applyFill="1" applyBorder="1" applyAlignment="1">
      <alignment horizontal="center" vertical="center"/>
    </xf>
    <xf numFmtId="49" fontId="28" fillId="16" borderId="9" xfId="30" applyNumberFormat="1" applyFont="1" applyFill="1" applyBorder="1" applyAlignment="1">
      <alignment horizontal="center" vertical="center"/>
    </xf>
    <xf numFmtId="49" fontId="28" fillId="16" borderId="10" xfId="30" applyNumberFormat="1" applyFont="1" applyFill="1" applyBorder="1" applyAlignment="1">
      <alignment horizontal="center" vertical="center"/>
    </xf>
    <xf numFmtId="49" fontId="28" fillId="16" borderId="11" xfId="30" applyNumberFormat="1" applyFont="1" applyFill="1" applyBorder="1" applyAlignment="1">
      <alignment horizontal="center" vertical="center"/>
    </xf>
    <xf numFmtId="49" fontId="3" fillId="0" borderId="0" xfId="30" applyNumberFormat="1" applyFont="1" applyBorder="1" applyAlignment="1">
      <alignment horizontal="left" vertical="center" wrapText="1"/>
    </xf>
    <xf numFmtId="0" fontId="1" fillId="0" borderId="0" xfId="30" applyBorder="1" applyAlignment="1">
      <alignment horizontal="left" vertical="center"/>
    </xf>
    <xf numFmtId="49" fontId="26" fillId="15" borderId="0" xfId="30" applyNumberFormat="1" applyFont="1" applyFill="1" applyAlignment="1">
      <alignment horizontal="left" vertical="center"/>
    </xf>
    <xf numFmtId="0" fontId="1" fillId="0" borderId="0" xfId="30" applyAlignment="1">
      <alignment horizontal="left" vertical="center"/>
    </xf>
    <xf numFmtId="0" fontId="1" fillId="0" borderId="0" xfId="30" applyBorder="1" applyAlignment="1">
      <alignment horizontal="left" vertical="center" wrapText="1"/>
    </xf>
    <xf numFmtId="49" fontId="25" fillId="0" borderId="0" xfId="30" applyNumberFormat="1" applyFont="1" applyAlignment="1">
      <alignment horizontal="left" vertical="center"/>
    </xf>
    <xf numFmtId="0" fontId="3" fillId="0" borderId="0" xfId="30" applyNumberFormat="1" applyFont="1" applyBorder="1" applyAlignment="1">
      <alignment horizontal="left" vertical="center" wrapText="1"/>
    </xf>
    <xf numFmtId="0" fontId="1" fillId="0" borderId="0" xfId="30" applyNumberFormat="1" applyBorder="1" applyAlignment="1">
      <alignment horizontal="left" vertical="center"/>
    </xf>
    <xf numFmtId="0" fontId="13" fillId="2" borderId="1" xfId="0" applyFont="1" applyFill="1" applyBorder="1" applyAlignment="1">
      <alignment horizontal="center" vertical="center" textRotation="90"/>
    </xf>
    <xf numFmtId="0" fontId="8" fillId="0" borderId="9" xfId="30" applyFont="1" applyBorder="1" applyAlignment="1" applyProtection="1">
      <alignment horizontal="center"/>
    </xf>
    <xf numFmtId="0" fontId="1" fillId="0" borderId="11" xfId="30" applyBorder="1" applyAlignment="1" applyProtection="1"/>
    <xf numFmtId="0" fontId="1" fillId="0" borderId="9" xfId="30" applyBorder="1" applyAlignment="1" applyProtection="1"/>
    <xf numFmtId="0" fontId="29" fillId="2" borderId="1" xfId="30" applyFont="1" applyFill="1" applyBorder="1" applyAlignment="1" applyProtection="1">
      <alignment horizontal="center"/>
    </xf>
    <xf numFmtId="0" fontId="29" fillId="0" borderId="1" xfId="30" applyFont="1" applyBorder="1" applyAlignment="1" applyProtection="1">
      <alignment horizontal="center"/>
    </xf>
    <xf numFmtId="0" fontId="8" fillId="2" borderId="9" xfId="30" applyFont="1" applyFill="1" applyBorder="1" applyAlignment="1" applyProtection="1">
      <alignment horizontal="center"/>
    </xf>
    <xf numFmtId="0" fontId="6" fillId="0" borderId="1" xfId="30" applyFont="1" applyBorder="1" applyAlignment="1" applyProtection="1">
      <alignment horizontal="center"/>
    </xf>
    <xf numFmtId="0" fontId="1" fillId="0" borderId="1" xfId="30" applyBorder="1" applyAlignment="1" applyProtection="1"/>
    <xf numFmtId="0" fontId="6" fillId="2" borderId="9" xfId="30" applyFont="1" applyFill="1" applyBorder="1" applyAlignment="1" applyProtection="1">
      <alignment horizontal="center"/>
    </xf>
    <xf numFmtId="0" fontId="6" fillId="2" borderId="11" xfId="30" applyFont="1" applyFill="1" applyBorder="1" applyAlignment="1" applyProtection="1">
      <alignment horizontal="center"/>
    </xf>
    <xf numFmtId="0" fontId="8" fillId="0" borderId="9" xfId="30" applyFont="1" applyBorder="1" applyAlignment="1" applyProtection="1">
      <alignment horizontal="center" vertical="center"/>
    </xf>
    <xf numFmtId="0" fontId="1" fillId="0" borderId="11" xfId="30" applyBorder="1" applyAlignment="1" applyProtection="1">
      <alignment vertical="center"/>
    </xf>
    <xf numFmtId="0" fontId="33" fillId="2" borderId="1" xfId="30" applyFont="1" applyFill="1" applyBorder="1" applyAlignment="1" applyProtection="1">
      <alignment horizontal="center" vertical="center"/>
    </xf>
    <xf numFmtId="0" fontId="33" fillId="0" borderId="1" xfId="30" applyFont="1" applyBorder="1" applyAlignment="1" applyProtection="1">
      <alignment horizontal="center" vertical="center"/>
    </xf>
    <xf numFmtId="0" fontId="8" fillId="2" borderId="9" xfId="30" applyFont="1" applyFill="1" applyBorder="1" applyAlignment="1" applyProtection="1">
      <alignment horizontal="center" vertical="center"/>
    </xf>
    <xf numFmtId="0" fontId="1" fillId="0" borderId="9" xfId="30" applyBorder="1" applyAlignment="1" applyProtection="1">
      <alignment vertical="center"/>
    </xf>
    <xf numFmtId="0" fontId="29" fillId="2" borderId="1" xfId="30" applyFont="1" applyFill="1" applyBorder="1" applyAlignment="1" applyProtection="1">
      <alignment horizontal="center" vertical="center"/>
    </xf>
    <xf numFmtId="0" fontId="29" fillId="0" borderId="1" xfId="30" applyFont="1" applyBorder="1" applyAlignment="1" applyProtection="1">
      <alignment horizontal="center" vertical="center"/>
    </xf>
    <xf numFmtId="0" fontId="1" fillId="0" borderId="3" xfId="30" applyBorder="1" applyAlignment="1" applyProtection="1">
      <alignment vertical="center"/>
    </xf>
    <xf numFmtId="0" fontId="1" fillId="0" borderId="0" xfId="30" applyAlignment="1" applyProtection="1">
      <alignment vertical="center"/>
    </xf>
    <xf numFmtId="0" fontId="6" fillId="0" borderId="1" xfId="30" applyFont="1" applyBorder="1" applyAlignment="1" applyProtection="1">
      <alignment horizontal="center" vertical="center"/>
    </xf>
    <xf numFmtId="0" fontId="1" fillId="0" borderId="1" xfId="30" applyBorder="1" applyAlignment="1" applyProtection="1">
      <alignment vertical="center"/>
    </xf>
    <xf numFmtId="0" fontId="6" fillId="2" borderId="9" xfId="30" applyFont="1" applyFill="1" applyBorder="1" applyAlignment="1" applyProtection="1">
      <alignment horizontal="center" vertical="center"/>
    </xf>
    <xf numFmtId="0" fontId="6" fillId="2" borderId="11" xfId="30" applyFont="1" applyFill="1" applyBorder="1" applyAlignment="1" applyProtection="1">
      <alignment horizontal="center" vertical="center"/>
    </xf>
    <xf numFmtId="0" fontId="33" fillId="2" borderId="1" xfId="30" applyFont="1" applyFill="1" applyBorder="1" applyAlignment="1" applyProtection="1">
      <alignment horizontal="center"/>
    </xf>
    <xf numFmtId="0" fontId="33" fillId="0" borderId="1" xfId="30" applyFont="1" applyBorder="1" applyAlignment="1" applyProtection="1">
      <alignment horizontal="center"/>
    </xf>
    <xf numFmtId="0" fontId="1" fillId="0" borderId="3" xfId="30" applyBorder="1" applyAlignment="1" applyProtection="1"/>
    <xf numFmtId="0" fontId="1" fillId="0" borderId="0" xfId="30" applyAlignment="1" applyProtection="1"/>
    <xf numFmtId="0" fontId="0" fillId="0" borderId="0" xfId="0" applyAlignment="1">
      <alignment horizontal="center"/>
    </xf>
    <xf numFmtId="0" fontId="0" fillId="0" borderId="0" xfId="0" applyAlignment="1"/>
    <xf numFmtId="0" fontId="14" fillId="20" borderId="0" xfId="30" applyFont="1" applyFill="1" applyAlignment="1" applyProtection="1">
      <alignment horizontal="center"/>
    </xf>
    <xf numFmtId="0" fontId="15" fillId="14" borderId="1" xfId="38" applyFont="1" applyFill="1" applyBorder="1" applyAlignment="1" applyProtection="1">
      <alignment horizontal="center" vertical="center" wrapText="1"/>
    </xf>
    <xf numFmtId="0" fontId="15" fillId="0" borderId="1" xfId="30" applyFont="1" applyFill="1" applyBorder="1" applyAlignment="1" applyProtection="1">
      <alignment horizontal="center"/>
    </xf>
    <xf numFmtId="0" fontId="14" fillId="0" borderId="1" xfId="30" applyFont="1" applyFill="1" applyBorder="1" applyAlignment="1" applyProtection="1">
      <alignment horizontal="center"/>
    </xf>
    <xf numFmtId="0" fontId="14" fillId="0" borderId="1" xfId="38" applyFont="1" applyFill="1" applyBorder="1" applyAlignment="1" applyProtection="1">
      <alignment horizontal="center" vertical="center"/>
    </xf>
    <xf numFmtId="0" fontId="15" fillId="0" borderId="1" xfId="30" applyFont="1" applyFill="1" applyBorder="1" applyAlignment="1" applyProtection="1">
      <alignment horizontal="center" vertical="center"/>
    </xf>
    <xf numFmtId="0" fontId="14" fillId="0" borderId="1" xfId="30" applyFont="1" applyFill="1" applyBorder="1" applyAlignment="1" applyProtection="1">
      <alignment horizontal="center" vertical="center"/>
    </xf>
  </cellXfs>
  <cellStyles count="39">
    <cellStyle name="Normal 10" xfId="30"/>
    <cellStyle name="Normal 11" xfId="32"/>
    <cellStyle name="Normal 12" xfId="33"/>
    <cellStyle name="Normal 13" xfId="37"/>
    <cellStyle name="Normal 14" xfId="23"/>
    <cellStyle name="Normal 15" xfId="25"/>
    <cellStyle name="Normal 16" xfId="34"/>
    <cellStyle name="Normal 17" xfId="35"/>
    <cellStyle name="Normal 18" xfId="36"/>
    <cellStyle name="Normal 2" xfId="2"/>
    <cellStyle name="Normal 2 2" xfId="38"/>
    <cellStyle name="Normal 20" xfId="26"/>
    <cellStyle name="Normal 21" xfId="17"/>
    <cellStyle name="Normal 22" xfId="19"/>
    <cellStyle name="Normal 23" xfId="20"/>
    <cellStyle name="Normal 24" xfId="22"/>
    <cellStyle name="Normal 25" xfId="24"/>
    <cellStyle name="Normal 26" xfId="27"/>
    <cellStyle name="Normal 27" xfId="15"/>
    <cellStyle name="Normal 28" xfId="13"/>
    <cellStyle name="Normal 29" xfId="6"/>
    <cellStyle name="Normal 3" xfId="14"/>
    <cellStyle name="Normal 30" xfId="7"/>
    <cellStyle name="Normal 31" xfId="8"/>
    <cellStyle name="Normal 32" xfId="9"/>
    <cellStyle name="Normal 33" xfId="10"/>
    <cellStyle name="Normal 34" xfId="11"/>
    <cellStyle name="Normal 4" xfId="16"/>
    <cellStyle name="Normal 5" xfId="18"/>
    <cellStyle name="Normal 6" xfId="21"/>
    <cellStyle name="Normal 7" xfId="28"/>
    <cellStyle name="Normal 8" xfId="29"/>
    <cellStyle name="Normal 9" xfId="31"/>
    <cellStyle name="Normal_Copy of Lopez 1.2_PDD_Prelim_Mktg_8020" xfId="3"/>
    <cellStyle name="Normal_Gen Req Template" xfId="4"/>
    <cellStyle name="Normal_PSG WAT Test Plan v1.5- With Formulas XP Only" xfId="12"/>
    <cellStyle name="Style 1" xfId="5"/>
    <cellStyle name="一般" xfId="0" builtinId="0"/>
    <cellStyle name="超連結" xfId="1" builtinId="8"/>
  </cellStyles>
  <dxfs count="2">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TT_DBConfigurations!$D$2" lockText="1" noThreeD="1"/>
</file>

<file path=xl/ctrlProps/ctrlProp2.xml><?xml version="1.0" encoding="utf-8"?>
<formControlPr xmlns="http://schemas.microsoft.com/office/spreadsheetml/2009/9/main" objectType="CheckBox" checked="Checked" fmlaLink="TT_DBConfigurations!$D$14" lockText="1" noThreeD="1"/>
</file>

<file path=xl/ctrlProps/ctrlProp3.xml><?xml version="1.0" encoding="utf-8"?>
<formControlPr xmlns="http://schemas.microsoft.com/office/spreadsheetml/2009/9/main" objectType="CheckBox" checked="Checked" fmlaLink="TT_DBConfigurations!$D$20" lockText="1" noThreeD="1"/>
</file>

<file path=xl/ctrlProps/ctrlProp4.xml><?xml version="1.0" encoding="utf-8"?>
<formControlPr xmlns="http://schemas.microsoft.com/office/spreadsheetml/2009/9/main" objectType="CheckBox" checked="Checked" fmlaLink="TT_DBConfigurations!$D$8" lockText="1" noThreeD="1"/>
</file>

<file path=xl/ctrlProps/ctrlProp5.xml><?xml version="1.0" encoding="utf-8"?>
<formControlPr xmlns="http://schemas.microsoft.com/office/spreadsheetml/2009/9/main" objectType="CheckBox" checked="Checked" fmlaLink="TT_DBConfigurations!$D$24" lockText="1" noThreeD="1"/>
</file>

<file path=xl/ctrlProps/ctrlProp6.xml><?xml version="1.0" encoding="utf-8"?>
<formControlPr xmlns="http://schemas.microsoft.com/office/spreadsheetml/2009/9/main" objectType="CheckBox" checked="Checked" fmlaLink="TT_DBConfigurations!$D$3" lockText="1" noThreeD="1"/>
</file>

<file path=xl/ctrlProps/ctrlProp7.xml><?xml version="1.0" encoding="utf-8"?>
<formControlPr xmlns="http://schemas.microsoft.com/office/spreadsheetml/2009/9/main" objectType="CheckBox" checked="Checked" fmlaLink="TT_DBConfigurations!$D$4" lockText="1" noThreeD="1"/>
</file>

<file path=xl/ctrlProps/ctrlProp8.xml><?xml version="1.0" encoding="utf-8"?>
<formControlPr xmlns="http://schemas.microsoft.com/office/spreadsheetml/2009/9/main" objectType="CheckBox" checked="Checked" fmlaLink="TT_DBConfigurations!$D$5" lockText="1" noThreeD="1"/>
</file>

<file path=xl/ctrlProps/ctrlProp9.xml><?xml version="1.0" encoding="utf-8"?>
<formControlPr xmlns="http://schemas.microsoft.com/office/spreadsheetml/2009/9/main" objectType="CheckBox" checked="Checked" fmlaLink="TT_DBConfigurations!$D$6" lockText="1" noThreeD="1"/>
</file>

<file path=xl/ctrlProps/ctrlProp10.xml><?xml version="1.0" encoding="utf-8"?>
<formControlPr xmlns="http://schemas.microsoft.com/office/spreadsheetml/2009/9/main" objectType="CheckBox" checked="Checked" fmlaLink="TT_DBConfigurations!$D$7" lockText="1" noThreeD="1"/>
</file>

<file path=xl/ctrlProps/ctrlProp11.xml><?xml version="1.0" encoding="utf-8"?>
<formControlPr xmlns="http://schemas.microsoft.com/office/spreadsheetml/2009/9/main" objectType="CheckBox" checked="Checked" fmlaLink="TT_DBConfigurations!$D$10" lockText="1" noThreeD="1"/>
</file>

<file path=xl/ctrlProps/ctrlProp12.xml><?xml version="1.0" encoding="utf-8"?>
<formControlPr xmlns="http://schemas.microsoft.com/office/spreadsheetml/2009/9/main" objectType="CheckBox" checked="Checked" fmlaLink="TT_DBConfigurations!$D$11" lockText="1" noThreeD="1"/>
</file>

<file path=xl/ctrlProps/ctrlProp13.xml><?xml version="1.0" encoding="utf-8"?>
<formControlPr xmlns="http://schemas.microsoft.com/office/spreadsheetml/2009/9/main" objectType="CheckBox" checked="Checked" fmlaLink="TT_DBConfigurations!$D$12" lockText="1" noThreeD="1"/>
</file>

<file path=xl/ctrlProps/ctrlProp14.xml><?xml version="1.0" encoding="utf-8"?>
<formControlPr xmlns="http://schemas.microsoft.com/office/spreadsheetml/2009/9/main" objectType="CheckBox" checked="Checked" fmlaLink="TT_DBConfigurations!$D$13" lockText="1" noThreeD="1"/>
</file>

<file path=xl/ctrlProps/ctrlProp15.xml><?xml version="1.0" encoding="utf-8"?>
<formControlPr xmlns="http://schemas.microsoft.com/office/spreadsheetml/2009/9/main" objectType="CheckBox" checked="Checked" fmlaLink="TT_DBConfigurations!$D$15" lockText="1" noThreeD="1"/>
</file>

<file path=xl/ctrlProps/ctrlProp16.xml><?xml version="1.0" encoding="utf-8"?>
<formControlPr xmlns="http://schemas.microsoft.com/office/spreadsheetml/2009/9/main" objectType="CheckBox" checked="Checked" fmlaLink="TT_DBConfigurations!$D$16" lockText="1" noThreeD="1"/>
</file>

<file path=xl/ctrlProps/ctrlProp17.xml><?xml version="1.0" encoding="utf-8"?>
<formControlPr xmlns="http://schemas.microsoft.com/office/spreadsheetml/2009/9/main" objectType="CheckBox" checked="Checked" fmlaLink="TT_DBConfigurations!$D$17" lockText="1" noThreeD="1"/>
</file>

<file path=xl/ctrlProps/ctrlProp18.xml><?xml version="1.0" encoding="utf-8"?>
<formControlPr xmlns="http://schemas.microsoft.com/office/spreadsheetml/2009/9/main" objectType="CheckBox" checked="Checked" fmlaLink="TT_DBConfigurations!$D$18" lockText="1" noThreeD="1"/>
</file>

<file path=xl/ctrlProps/ctrlProp19.xml><?xml version="1.0" encoding="utf-8"?>
<formControlPr xmlns="http://schemas.microsoft.com/office/spreadsheetml/2009/9/main" objectType="CheckBox" checked="Checked" fmlaLink="TT_DBConfigurations!$D$19" lockText="1" noThreeD="1"/>
</file>

<file path=xl/ctrlProps/ctrlProp20.xml><?xml version="1.0" encoding="utf-8"?>
<formControlPr xmlns="http://schemas.microsoft.com/office/spreadsheetml/2009/9/main" objectType="CheckBox" checked="Checked" fmlaLink="TT_DBConfigurations!$D$21" lockText="1" noThreeD="1"/>
</file>

<file path=xl/ctrlProps/ctrlProp21.xml><?xml version="1.0" encoding="utf-8"?>
<formControlPr xmlns="http://schemas.microsoft.com/office/spreadsheetml/2009/9/main" objectType="CheckBox" checked="Checked" fmlaLink="TT_DBConfigurations!$D$22" lockText="1" noThreeD="1"/>
</file>

<file path=xl/ctrlProps/ctrlProp22.xml><?xml version="1.0" encoding="utf-8"?>
<formControlPr xmlns="http://schemas.microsoft.com/office/spreadsheetml/2009/9/main" objectType="CheckBox" checked="Checked" fmlaLink="TT_DBConfigurations!$D$23" lockText="1" noThreeD="1"/>
</file>

<file path=xl/ctrlProps/ctrlProp23.xml><?xml version="1.0" encoding="utf-8"?>
<formControlPr xmlns="http://schemas.microsoft.com/office/spreadsheetml/2009/9/main" objectType="CheckBox" checked="Checked" fmlaLink="TT_DBConfigurations!$D$25" lockText="1" noThreeD="1"/>
</file>

<file path=xl/ctrlProps/ctrlProp24.xml><?xml version="1.0" encoding="utf-8"?>
<formControlPr xmlns="http://schemas.microsoft.com/office/spreadsheetml/2009/9/main" objectType="CheckBox" checked="Checked" fmlaLink="TT_DBConfigurations!$D$26" lockText="1" noThreeD="1"/>
</file>

<file path=xl/ctrlProps/ctrlProp25.xml><?xml version="1.0" encoding="utf-8"?>
<formControlPr xmlns="http://schemas.microsoft.com/office/spreadsheetml/2009/9/main" objectType="CheckBox" checked="Checked" fmlaLink="TT_DBConfigurations!$D$27" lockText="1" noThreeD="1"/>
</file>

<file path=xl/ctrlProps/ctrlProp26.xml><?xml version="1.0" encoding="utf-8"?>
<formControlPr xmlns="http://schemas.microsoft.com/office/spreadsheetml/2009/9/main" objectType="CheckBox" fmlaLink="TT_DBConfigurations!$D$9" lockText="1" noThreeD="1"/>
</file>

<file path=xl/ctrlProps/ctrlProp27.xml><?xml version="1.0" encoding="utf-8"?>
<formControlPr xmlns="http://schemas.microsoft.com/office/spreadsheetml/2009/9/main" objectType="Radio" firstButton="1" fmlaLink="TT_DBConfigurations!$O$6"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firstButton="1" fmlaLink="TT_DBConfigurations!$O$3"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fmlaLink="TT_DBConfigurations!$O$12"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fmlaLink="TT_DBConfigurations!$O$15"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Radio" checked="Checked" firstButton="1" fmlaLink="TT_DBConfigurations!$O$18"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checked="Checked" firstButton="1" fmlaLink="TT_DBConfigurations!$O$9"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firstButton="1" fmlaLink="TT_DBConfigurations!$O$21" lockText="1" noThreeD="1"/>
</file>

<file path=xl/ctrlProps/ctrlProp51.xml><?xml version="1.0" encoding="utf-8"?>
<formControlPr xmlns="http://schemas.microsoft.com/office/spreadsheetml/2009/9/main" objectType="Radio" checked="Checked" lockText="1"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firstButton="1" fmlaLink="TT_DBConfigurations!$O$33" lockText="1" noThreeD="1"/>
</file>

<file path=xl/ctrlProps/ctrlProp54.xml><?xml version="1.0" encoding="utf-8"?>
<formControlPr xmlns="http://schemas.microsoft.com/office/spreadsheetml/2009/9/main" objectType="Radio" checked="Checked"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TT_DBConfigurations!$O$39"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Radio" firstButton="1" fmlaLink="TT_DBConfigurations!$O$36"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checked="Checked" lockText="1" noThreeD="1"/>
</file>

<file path=xl/ctrlProps/ctrlProp64.xml><?xml version="1.0" encoding="utf-8"?>
<formControlPr xmlns="http://schemas.microsoft.com/office/spreadsheetml/2009/9/main" objectType="CheckBox" fmlaLink="TT_DBConfigurations!$I$14" lockText="1" noThreeD="1"/>
</file>

<file path=xl/ctrlProps/ctrlProp65.xml><?xml version="1.0" encoding="utf-8"?>
<formControlPr xmlns="http://schemas.microsoft.com/office/spreadsheetml/2009/9/main" objectType="CheckBox" fmlaLink="TT_DBConfigurations!$I$15" lockText="1" noThreeD="1"/>
</file>

<file path=xl/ctrlProps/ctrlProp66.xml><?xml version="1.0" encoding="utf-8"?>
<formControlPr xmlns="http://schemas.microsoft.com/office/spreadsheetml/2009/9/main" objectType="CheckBox" checked="Checked" fmlaLink="TT_DBConfigurations!$I$23" lockText="1" noThreeD="1"/>
</file>

<file path=xl/ctrlProps/ctrlProp67.xml><?xml version="1.0" encoding="utf-8"?>
<formControlPr xmlns="http://schemas.microsoft.com/office/spreadsheetml/2009/9/main" objectType="CheckBox" fmlaLink="TT_DBConfigurations!$I$22" lockText="1" noThreeD="1"/>
</file>

<file path=xl/ctrlProps/ctrlProp68.xml><?xml version="1.0" encoding="utf-8"?>
<formControlPr xmlns="http://schemas.microsoft.com/office/spreadsheetml/2009/9/main" objectType="CheckBox" fmlaLink="TT_DBConfigurations!$I$24" lockText="1" noThreeD="1"/>
</file>

<file path=xl/ctrlProps/ctrlProp69.xml><?xml version="1.0" encoding="utf-8"?>
<formControlPr xmlns="http://schemas.microsoft.com/office/spreadsheetml/2009/9/main" objectType="CheckBox" fmlaLink="TT_DBConfigurations!$I$16" lockText="1" noThreeD="1"/>
</file>

<file path=xl/ctrlProps/ctrlProp70.xml><?xml version="1.0" encoding="utf-8"?>
<formControlPr xmlns="http://schemas.microsoft.com/office/spreadsheetml/2009/9/main" objectType="CheckBox" fmlaLink="TT_DBConfigurations!$I$25" lockText="1" noThreeD="1"/>
</file>

<file path=xl/ctrlProps/ctrlProp71.xml><?xml version="1.0" encoding="utf-8"?>
<formControlPr xmlns="http://schemas.microsoft.com/office/spreadsheetml/2009/9/main" objectType="CheckBox" fmlaLink="TT_DBConfigurations!$I$31" lockText="1" noThreeD="1"/>
</file>

<file path=xl/ctrlProps/ctrlProp72.xml><?xml version="1.0" encoding="utf-8"?>
<formControlPr xmlns="http://schemas.microsoft.com/office/spreadsheetml/2009/9/main" objectType="CheckBox" fmlaLink="TT_DBConfigurations!$I$32" lockText="1" noThreeD="1"/>
</file>

<file path=xl/ctrlProps/ctrlProp73.xml><?xml version="1.0" encoding="utf-8"?>
<formControlPr xmlns="http://schemas.microsoft.com/office/spreadsheetml/2009/9/main" objectType="CheckBox" fmlaLink="TT_DBConfigurations!$I$33" lockText="1" noThreeD="1"/>
</file>

<file path=xl/ctrlProps/ctrlProp74.xml><?xml version="1.0" encoding="utf-8"?>
<formControlPr xmlns="http://schemas.microsoft.com/office/spreadsheetml/2009/9/main" objectType="CheckBox" fmlaLink="TT_DBConfigurations!$I$34" lockText="1" noThreeD="1"/>
</file>

<file path=xl/ctrlProps/ctrlProp75.xml><?xml version="1.0" encoding="utf-8"?>
<formControlPr xmlns="http://schemas.microsoft.com/office/spreadsheetml/2009/9/main" objectType="CheckBox" fmlaLink="TT_DBConfigurations!$I$35" lockText="1" noThreeD="1"/>
</file>

<file path=xl/ctrlProps/ctrlProp76.xml><?xml version="1.0" encoding="utf-8"?>
<formControlPr xmlns="http://schemas.microsoft.com/office/spreadsheetml/2009/9/main" objectType="CheckBox" fmlaLink="TT_DBConfigurations!$I$46" lockText="1" noThreeD="1"/>
</file>

<file path=xl/ctrlProps/ctrlProp77.xml><?xml version="1.0" encoding="utf-8"?>
<formControlPr xmlns="http://schemas.microsoft.com/office/spreadsheetml/2009/9/main" objectType="CheckBox" fmlaLink="TT_DBConfigurations!$I$47" lockText="1" noThreeD="1"/>
</file>

<file path=xl/ctrlProps/ctrlProp78.xml><?xml version="1.0" encoding="utf-8"?>
<formControlPr xmlns="http://schemas.microsoft.com/office/spreadsheetml/2009/9/main" objectType="CheckBox" fmlaLink="TT_DBConfigurations!$I$7" lockText="1" noThreeD="1"/>
</file>

<file path=xl/ctrlProps/ctrlProp79.xml><?xml version="1.0" encoding="utf-8"?>
<formControlPr xmlns="http://schemas.microsoft.com/office/spreadsheetml/2009/9/main" objectType="CheckBox" checked="Checked" fmlaLink="TT_DBConfigurations!$I$8" lockText="1" noThreeD="1"/>
</file>

<file path=xl/ctrlProps/ctrlProp80.xml><?xml version="1.0" encoding="utf-8"?>
<formControlPr xmlns="http://schemas.microsoft.com/office/spreadsheetml/2009/9/main" objectType="CheckBox" fmlaLink="TT_DBConfigurations!$I$6" lockText="1" noThreeD="1"/>
</file>

<file path=xl/ctrlProps/ctrlProp81.xml><?xml version="1.0" encoding="utf-8"?>
<formControlPr xmlns="http://schemas.microsoft.com/office/spreadsheetml/2009/9/main" objectType="CheckBox" fmlaLink="TT_DBConfigurations!$I$36" lockText="1" noThreeD="1"/>
</file>

<file path=xl/ctrlProps/ctrlProp82.xml><?xml version="1.0" encoding="utf-8"?>
<formControlPr xmlns="http://schemas.microsoft.com/office/spreadsheetml/2009/9/main" objectType="CheckBox" fmlaLink="TT_DBConfigurations!$I$37" lockText="1" noThreeD="1"/>
</file>

<file path=xl/ctrlProps/ctrlProp83.xml><?xml version="1.0" encoding="utf-8"?>
<formControlPr xmlns="http://schemas.microsoft.com/office/spreadsheetml/2009/9/main" objectType="CheckBox" fmlaLink="TT_DBConfigurations!$I$38" lockText="1" noThreeD="1"/>
</file>

<file path=xl/ctrlProps/ctrlProp84.xml><?xml version="1.0" encoding="utf-8"?>
<formControlPr xmlns="http://schemas.microsoft.com/office/spreadsheetml/2009/9/main" objectType="CheckBox" fmlaLink="TT_DBConfigurations!$I$39" lockText="1" noThreeD="1"/>
</file>

<file path=xl/ctrlProps/ctrlProp85.xml><?xml version="1.0" encoding="utf-8"?>
<formControlPr xmlns="http://schemas.microsoft.com/office/spreadsheetml/2009/9/main" objectType="CheckBox" fmlaLink="TT_DBConfigurations!$I$40" lockText="1" noThreeD="1"/>
</file>

<file path=xl/ctrlProps/ctrlProp86.xml><?xml version="1.0" encoding="utf-8"?>
<formControlPr xmlns="http://schemas.microsoft.com/office/spreadsheetml/2009/9/main" objectType="CheckBox" fmlaLink="TT_DBConfigurations!$I$26" lockText="1" noThreeD="1"/>
</file>

<file path=xl/ctrlProps/ctrlProp87.xml><?xml version="1.0" encoding="utf-8"?>
<formControlPr xmlns="http://schemas.microsoft.com/office/spreadsheetml/2009/9/main" objectType="CheckBox" checked="Checked" fmlaLink="TT_DBConfigurations!$I$50" lockText="1" noThreeD="1"/>
</file>

<file path=xl/ctrlProps/ctrlProp88.xml><?xml version="1.0" encoding="utf-8"?>
<formControlPr xmlns="http://schemas.microsoft.com/office/spreadsheetml/2009/9/main" objectType="CheckBox" checked="Checked" fmlaLink="TT_DBConfigurations!$I$49" lockText="1" noThreeD="1"/>
</file>

<file path=xl/ctrlProps/ctrlProp89.xml><?xml version="1.0" encoding="utf-8"?>
<formControlPr xmlns="http://schemas.microsoft.com/office/spreadsheetml/2009/9/main" objectType="CheckBox" checked="Checked" fmlaLink="TT_DBConfigurations!$I$51" lockText="1" noThreeD="1"/>
</file>

<file path=xl/ctrlProps/ctrlProp90.xml><?xml version="1.0" encoding="utf-8"?>
<formControlPr xmlns="http://schemas.microsoft.com/office/spreadsheetml/2009/9/main" objectType="CheckBox" checked="Checked" fmlaLink="TT_DBConfigurations!$I$48" lockText="1" noThreeD="1"/>
</file>

<file path=xl/ctrlProps/ctrlProp91.xml><?xml version="1.0" encoding="utf-8"?>
<formControlPr xmlns="http://schemas.microsoft.com/office/spreadsheetml/2009/9/main" objectType="CheckBox" checked="Checked" fmlaLink="TT_DBConfigurations!$I$52" lockText="1" noThreeD="1"/>
</file>

<file path=xl/ctrlProps/ctrlProp92.xml><?xml version="1.0" encoding="utf-8"?>
<formControlPr xmlns="http://schemas.microsoft.com/office/spreadsheetml/2009/9/main" objectType="CheckBox" checked="Checked" fmlaLink="TT_DBConfigurations!$I$55" lockText="1" noThreeD="1"/>
</file>

<file path=xl/ctrlProps/ctrlProp93.xml><?xml version="1.0" encoding="utf-8"?>
<formControlPr xmlns="http://schemas.microsoft.com/office/spreadsheetml/2009/9/main" objectType="CheckBox" checked="Checked" fmlaLink="TT_DBConfigurations!$I$54" lockText="1" noThreeD="1"/>
</file>

<file path=xl/ctrlProps/ctrlProp94.xml><?xml version="1.0" encoding="utf-8"?>
<formControlPr xmlns="http://schemas.microsoft.com/office/spreadsheetml/2009/9/main" objectType="CheckBox" checked="Checked" fmlaLink="TT_DBConfigurations!$I$56" lockText="1" noThreeD="1"/>
</file>

<file path=xl/ctrlProps/ctrlProp95.xml><?xml version="1.0" encoding="utf-8"?>
<formControlPr xmlns="http://schemas.microsoft.com/office/spreadsheetml/2009/9/main" objectType="CheckBox" checked="Checked" fmlaLink="TT_DBConfigurations!$I$53" lockText="1" noThreeD="1"/>
</file>

<file path=xl/ctrlProps/ctrlProp96.xml><?xml version="1.0" encoding="utf-8"?>
<formControlPr xmlns="http://schemas.microsoft.com/office/spreadsheetml/2009/9/main" objectType="CheckBox" checked="Checked" fmlaLink="TT_DBConfigurations!$I$57" lockText="1" noThreeD="1"/>
</file>

<file path=xl/ctrlProps/ctrlProp97.xml><?xml version="1.0" encoding="utf-8"?>
<formControlPr xmlns="http://schemas.microsoft.com/office/spreadsheetml/2009/9/main" objectType="CheckBox" checked="Checked" fmlaLink="TT_DBConfigurations!$I$58" lockText="1" noThreeD="1"/>
</file>

<file path=xl/ctrlProps/ctrlProp98.xml><?xml version="1.0" encoding="utf-8"?>
<formControlPr xmlns="http://schemas.microsoft.com/office/spreadsheetml/2009/9/main" objectType="CheckBox" checked="Checked" fmlaLink="TT_DBConfigurations!$I$61" lockText="1" noThreeD="1"/>
</file>

<file path=xl/ctrlProps/ctrlProp99.xml><?xml version="1.0" encoding="utf-8"?>
<formControlPr xmlns="http://schemas.microsoft.com/office/spreadsheetml/2009/9/main" objectType="CheckBox" checked="Checked" fmlaLink="TT_DBConfigurations!$I$62" lockText="1" noThreeD="1"/>
</file>

<file path=xl/ctrlProps/ctrlProp10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57150</xdr:colOff>
      <xdr:row>17</xdr:row>
      <xdr:rowOff>28575</xdr:rowOff>
    </xdr:from>
    <xdr:to>
      <xdr:col>5</xdr:col>
      <xdr:colOff>495300</xdr:colOff>
      <xdr:row>18</xdr:row>
      <xdr:rowOff>85725</xdr:rowOff>
    </xdr:to>
    <xdr:sp macro="" textlink="">
      <xdr:nvSpPr>
        <xdr:cNvPr id="3091" name="Text Box 19"/>
        <xdr:cNvSpPr txBox="1">
          <a:spLocks noChangeArrowheads="1"/>
        </xdr:cNvSpPr>
      </xdr:nvSpPr>
      <xdr:spPr bwMode="auto">
        <a:xfrm>
          <a:off x="238125" y="2295525"/>
          <a:ext cx="2705100"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Operating Systems / Test Environments</a:t>
          </a:r>
        </a:p>
      </xdr:txBody>
    </xdr:sp>
    <xdr:clientData/>
  </xdr:twoCellAnchor>
  <xdr:twoCellAnchor>
    <xdr:from>
      <xdr:col>2</xdr:col>
      <xdr:colOff>38100</xdr:colOff>
      <xdr:row>32</xdr:row>
      <xdr:rowOff>38100</xdr:rowOff>
    </xdr:from>
    <xdr:to>
      <xdr:col>4</xdr:col>
      <xdr:colOff>257175</xdr:colOff>
      <xdr:row>33</xdr:row>
      <xdr:rowOff>85725</xdr:rowOff>
    </xdr:to>
    <xdr:sp macro="" textlink="">
      <xdr:nvSpPr>
        <xdr:cNvPr id="3120" name="Text Box 48"/>
        <xdr:cNvSpPr txBox="1">
          <a:spLocks noChangeArrowheads="1"/>
        </xdr:cNvSpPr>
      </xdr:nvSpPr>
      <xdr:spPr bwMode="auto">
        <a:xfrm>
          <a:off x="219075" y="2295525"/>
          <a:ext cx="1438275"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Languages</a:t>
          </a:r>
        </a:p>
      </xdr:txBody>
    </xdr:sp>
    <xdr:clientData/>
  </xdr:twoCellAnchor>
  <xdr:twoCellAnchor>
    <xdr:from>
      <xdr:col>2</xdr:col>
      <xdr:colOff>38100</xdr:colOff>
      <xdr:row>45</xdr:row>
      <xdr:rowOff>47625</xdr:rowOff>
    </xdr:from>
    <xdr:to>
      <xdr:col>3</xdr:col>
      <xdr:colOff>542925</xdr:colOff>
      <xdr:row>46</xdr:row>
      <xdr:rowOff>133350</xdr:rowOff>
    </xdr:to>
    <xdr:sp macro="" textlink="">
      <xdr:nvSpPr>
        <xdr:cNvPr id="3170" name="Text Box 98"/>
        <xdr:cNvSpPr txBox="1">
          <a:spLocks noChangeArrowheads="1"/>
        </xdr:cNvSpPr>
      </xdr:nvSpPr>
      <xdr:spPr bwMode="auto">
        <a:xfrm>
          <a:off x="219075" y="2295525"/>
          <a:ext cx="1114425"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Matrix Behavior</a:t>
          </a:r>
        </a:p>
      </xdr:txBody>
    </xdr:sp>
    <xdr:clientData/>
  </xdr:twoCellAnchor>
  <mc:AlternateContent xmlns:mc="http://schemas.openxmlformats.org/markup-compatibility/2006">
    <mc:Choice xmlns:a14="http://schemas.microsoft.com/office/drawing/2010/main" Requires="a14">
      <xdr:twoCellAnchor>
        <xdr:from>
          <xdr:col>2</xdr:col>
          <xdr:colOff>28575</xdr:colOff>
          <xdr:row>33</xdr:row>
          <xdr:rowOff>95250</xdr:rowOff>
        </xdr:from>
        <xdr:to>
          <xdr:col>3</xdr:col>
          <xdr:colOff>295275</xdr:colOff>
          <xdr:row>34</xdr:row>
          <xdr:rowOff>152400</xdr:rowOff>
        </xdr:to>
        <xdr:sp macro="" textlink="">
          <xdr:nvSpPr>
            <xdr:cNvPr id="3093" name="Check_UnitedStates" hidden="1">
              <a:extLst>
                <a:ext uri="{63B3BB69-23CF-44E3-9099-C40C66FF867C}">
                  <a14:compatExt spid="_x0000_s30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English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33</xdr:row>
          <xdr:rowOff>95250</xdr:rowOff>
        </xdr:from>
        <xdr:to>
          <xdr:col>7</xdr:col>
          <xdr:colOff>219075</xdr:colOff>
          <xdr:row>34</xdr:row>
          <xdr:rowOff>152400</xdr:rowOff>
        </xdr:to>
        <xdr:sp macro="" textlink="">
          <xdr:nvSpPr>
            <xdr:cNvPr id="3094" name="Check_CzechRepublic" hidden="1">
              <a:extLst>
                <a:ext uri="{63B3BB69-23CF-44E3-9099-C40C66FF867C}">
                  <a14:compatExt spid="_x0000_s30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Czech Republic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33</xdr:row>
          <xdr:rowOff>95250</xdr:rowOff>
        </xdr:from>
        <xdr:to>
          <xdr:col>9</xdr:col>
          <xdr:colOff>342900</xdr:colOff>
          <xdr:row>35</xdr:row>
          <xdr:rowOff>19050</xdr:rowOff>
        </xdr:to>
        <xdr:sp macro="" textlink="">
          <xdr:nvSpPr>
            <xdr:cNvPr id="3095" name="Check_Taiwan" hidden="1">
              <a:extLst>
                <a:ext uri="{63B3BB69-23CF-44E3-9099-C40C66FF867C}">
                  <a14:compatExt spid="_x0000_s30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Chinese (TW)</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33</xdr:row>
          <xdr:rowOff>95250</xdr:rowOff>
        </xdr:from>
        <xdr:to>
          <xdr:col>5</xdr:col>
          <xdr:colOff>123825</xdr:colOff>
          <xdr:row>34</xdr:row>
          <xdr:rowOff>152400</xdr:rowOff>
        </xdr:to>
        <xdr:sp macro="" textlink="">
          <xdr:nvSpPr>
            <xdr:cNvPr id="3096" name="Check_Norway" hidden="1">
              <a:extLst>
                <a:ext uri="{63B3BB69-23CF-44E3-9099-C40C66FF867C}">
                  <a14:compatExt spid="_x0000_s30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Norwegian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40</xdr:row>
          <xdr:rowOff>142875</xdr:rowOff>
        </xdr:from>
        <xdr:to>
          <xdr:col>5</xdr:col>
          <xdr:colOff>66675</xdr:colOff>
          <xdr:row>42</xdr:row>
          <xdr:rowOff>38100</xdr:rowOff>
        </xdr:to>
        <xdr:sp macro="" textlink="">
          <xdr:nvSpPr>
            <xdr:cNvPr id="3098" name="Check_Finland" hidden="1">
              <a:extLst>
                <a:ext uri="{63B3BB69-23CF-44E3-9099-C40C66FF867C}">
                  <a14:compatExt spid="_x0000_s3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Finnish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34</xdr:row>
          <xdr:rowOff>133350</xdr:rowOff>
        </xdr:from>
        <xdr:to>
          <xdr:col>3</xdr:col>
          <xdr:colOff>104775</xdr:colOff>
          <xdr:row>36</xdr:row>
          <xdr:rowOff>28575</xdr:rowOff>
        </xdr:to>
        <xdr:sp macro="" textlink="">
          <xdr:nvSpPr>
            <xdr:cNvPr id="3099" name="Check_Germany" hidden="1">
              <a:extLst>
                <a:ext uri="{63B3BB69-23CF-44E3-9099-C40C66FF867C}">
                  <a14:compatExt spid="_x0000_s30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German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36</xdr:row>
          <xdr:rowOff>9525</xdr:rowOff>
        </xdr:from>
        <xdr:to>
          <xdr:col>2</xdr:col>
          <xdr:colOff>590550</xdr:colOff>
          <xdr:row>37</xdr:row>
          <xdr:rowOff>66675</xdr:rowOff>
        </xdr:to>
        <xdr:sp macro="" textlink="">
          <xdr:nvSpPr>
            <xdr:cNvPr id="3100" name="Check_France" hidden="1">
              <a:extLst>
                <a:ext uri="{63B3BB69-23CF-44E3-9099-C40C66FF867C}">
                  <a14:compatExt spid="_x0000_s3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French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37</xdr:row>
          <xdr:rowOff>38100</xdr:rowOff>
        </xdr:from>
        <xdr:to>
          <xdr:col>3</xdr:col>
          <xdr:colOff>28575</xdr:colOff>
          <xdr:row>38</xdr:row>
          <xdr:rowOff>104775</xdr:rowOff>
        </xdr:to>
        <xdr:sp macro="" textlink="">
          <xdr:nvSpPr>
            <xdr:cNvPr id="3101" name="Check_Italy" hidden="1">
              <a:extLst>
                <a:ext uri="{63B3BB69-23CF-44E3-9099-C40C66FF867C}">
                  <a14:compatExt spid="_x0000_s31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Italian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38</xdr:row>
          <xdr:rowOff>76200</xdr:rowOff>
        </xdr:from>
        <xdr:to>
          <xdr:col>3</xdr:col>
          <xdr:colOff>285750</xdr:colOff>
          <xdr:row>39</xdr:row>
          <xdr:rowOff>142875</xdr:rowOff>
        </xdr:to>
        <xdr:sp macro="" textlink="">
          <xdr:nvSpPr>
            <xdr:cNvPr id="3102" name="Check_SpainLA" hidden="1">
              <a:extLst>
                <a:ext uri="{63B3BB69-23CF-44E3-9099-C40C66FF867C}">
                  <a14:compatExt spid="_x0000_s31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 Spanish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39</xdr:row>
          <xdr:rowOff>114300</xdr:rowOff>
        </xdr:from>
        <xdr:to>
          <xdr:col>3</xdr:col>
          <xdr:colOff>57150</xdr:colOff>
          <xdr:row>41</xdr:row>
          <xdr:rowOff>9525</xdr:rowOff>
        </xdr:to>
        <xdr:sp macro="" textlink="">
          <xdr:nvSpPr>
            <xdr:cNvPr id="3103" name="Check_Denmark" hidden="1">
              <a:extLst>
                <a:ext uri="{63B3BB69-23CF-44E3-9099-C40C66FF867C}">
                  <a14:compatExt spid="_x0000_s31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36</xdr:row>
          <xdr:rowOff>9525</xdr:rowOff>
        </xdr:from>
        <xdr:to>
          <xdr:col>5</xdr:col>
          <xdr:colOff>38100</xdr:colOff>
          <xdr:row>37</xdr:row>
          <xdr:rowOff>66675</xdr:rowOff>
        </xdr:to>
        <xdr:sp macro="" textlink="">
          <xdr:nvSpPr>
            <xdr:cNvPr id="3104" name="Check_Turkey" hidden="1">
              <a:extLst>
                <a:ext uri="{63B3BB69-23CF-44E3-9099-C40C66FF867C}">
                  <a14:compatExt spid="_x0000_s31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Turkish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37</xdr:row>
          <xdr:rowOff>38100</xdr:rowOff>
        </xdr:from>
        <xdr:to>
          <xdr:col>5</xdr:col>
          <xdr:colOff>38100</xdr:colOff>
          <xdr:row>38</xdr:row>
          <xdr:rowOff>95250</xdr:rowOff>
        </xdr:to>
        <xdr:sp macro="" textlink="">
          <xdr:nvSpPr>
            <xdr:cNvPr id="3105" name="Check_Arabia" hidden="1">
              <a:extLst>
                <a:ext uri="{63B3BB69-23CF-44E3-9099-C40C66FF867C}">
                  <a14:compatExt spid="_x0000_s3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Arabic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38</xdr:row>
          <xdr:rowOff>76200</xdr:rowOff>
        </xdr:from>
        <xdr:to>
          <xdr:col>4</xdr:col>
          <xdr:colOff>600075</xdr:colOff>
          <xdr:row>39</xdr:row>
          <xdr:rowOff>133350</xdr:rowOff>
        </xdr:to>
        <xdr:sp macro="" textlink="">
          <xdr:nvSpPr>
            <xdr:cNvPr id="3106" name="Check_Brazil" hidden="1">
              <a:extLst>
                <a:ext uri="{63B3BB69-23CF-44E3-9099-C40C66FF867C}">
                  <a14:compatExt spid="_x0000_s3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Brazil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39</xdr:row>
          <xdr:rowOff>104775</xdr:rowOff>
        </xdr:from>
        <xdr:to>
          <xdr:col>5</xdr:col>
          <xdr:colOff>133350</xdr:colOff>
          <xdr:row>41</xdr:row>
          <xdr:rowOff>0</xdr:rowOff>
        </xdr:to>
        <xdr:sp macro="" textlink="">
          <xdr:nvSpPr>
            <xdr:cNvPr id="3107" name="Check_Hungary" hidden="1">
              <a:extLst>
                <a:ext uri="{63B3BB69-23CF-44E3-9099-C40C66FF867C}">
                  <a14:compatExt spid="_x0000_s31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Hungarian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34</xdr:row>
          <xdr:rowOff>133350</xdr:rowOff>
        </xdr:from>
        <xdr:to>
          <xdr:col>6</xdr:col>
          <xdr:colOff>447675</xdr:colOff>
          <xdr:row>36</xdr:row>
          <xdr:rowOff>28575</xdr:rowOff>
        </xdr:to>
        <xdr:sp macro="" textlink="">
          <xdr:nvSpPr>
            <xdr:cNvPr id="3108" name="Check_Poland" hidden="1">
              <a:extLst>
                <a:ext uri="{63B3BB69-23CF-44E3-9099-C40C66FF867C}">
                  <a14:compatExt spid="_x0000_s31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Polish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36</xdr:row>
          <xdr:rowOff>9525</xdr:rowOff>
        </xdr:from>
        <xdr:to>
          <xdr:col>6</xdr:col>
          <xdr:colOff>438150</xdr:colOff>
          <xdr:row>37</xdr:row>
          <xdr:rowOff>66675</xdr:rowOff>
        </xdr:to>
        <xdr:sp macro="" textlink="">
          <xdr:nvSpPr>
            <xdr:cNvPr id="3109" name="Check_Russia" hidden="1">
              <a:extLst>
                <a:ext uri="{63B3BB69-23CF-44E3-9099-C40C66FF867C}">
                  <a14:compatExt spid="_x0000_s31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Russian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37</xdr:row>
          <xdr:rowOff>38100</xdr:rowOff>
        </xdr:from>
        <xdr:to>
          <xdr:col>6</xdr:col>
          <xdr:colOff>581025</xdr:colOff>
          <xdr:row>38</xdr:row>
          <xdr:rowOff>114300</xdr:rowOff>
        </xdr:to>
        <xdr:sp macro="" textlink="">
          <xdr:nvSpPr>
            <xdr:cNvPr id="3110" name="Check_Japan" hidden="1">
              <a:extLst>
                <a:ext uri="{63B3BB69-23CF-44E3-9099-C40C66FF867C}">
                  <a14:compatExt spid="_x0000_s31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38</xdr:row>
          <xdr:rowOff>76200</xdr:rowOff>
        </xdr:from>
        <xdr:to>
          <xdr:col>7</xdr:col>
          <xdr:colOff>85725</xdr:colOff>
          <xdr:row>39</xdr:row>
          <xdr:rowOff>133350</xdr:rowOff>
        </xdr:to>
        <xdr:sp macro="" textlink="">
          <xdr:nvSpPr>
            <xdr:cNvPr id="3111" name="Check_Netherlands" hidden="1">
              <a:extLst>
                <a:ext uri="{63B3BB69-23CF-44E3-9099-C40C66FF867C}">
                  <a14:compatExt spid="_x0000_s31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Netherlands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39</xdr:row>
          <xdr:rowOff>104775</xdr:rowOff>
        </xdr:from>
        <xdr:to>
          <xdr:col>7</xdr:col>
          <xdr:colOff>114300</xdr:colOff>
          <xdr:row>41</xdr:row>
          <xdr:rowOff>0</xdr:rowOff>
        </xdr:to>
        <xdr:sp macro="" textlink="">
          <xdr:nvSpPr>
            <xdr:cNvPr id="3112" name="Check_PRCChinese" hidden="1">
              <a:extLst>
                <a:ext uri="{63B3BB69-23CF-44E3-9099-C40C66FF867C}">
                  <a14:compatExt spid="_x0000_s31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Chinese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34</xdr:row>
          <xdr:rowOff>114300</xdr:rowOff>
        </xdr:from>
        <xdr:to>
          <xdr:col>9</xdr:col>
          <xdr:colOff>600075</xdr:colOff>
          <xdr:row>36</xdr:row>
          <xdr:rowOff>47625</xdr:rowOff>
        </xdr:to>
        <xdr:sp macro="" textlink="">
          <xdr:nvSpPr>
            <xdr:cNvPr id="3113" name="Check_HongKong" hidden="1">
              <a:extLst>
                <a:ext uri="{63B3BB69-23CF-44E3-9099-C40C66FF867C}">
                  <a14:compatExt spid="_x0000_s31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Traditional Chinese (TZ)</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36</xdr:row>
          <xdr:rowOff>9525</xdr:rowOff>
        </xdr:from>
        <xdr:to>
          <xdr:col>8</xdr:col>
          <xdr:colOff>428625</xdr:colOff>
          <xdr:row>37</xdr:row>
          <xdr:rowOff>66675</xdr:rowOff>
        </xdr:to>
        <xdr:sp macro="" textlink="">
          <xdr:nvSpPr>
            <xdr:cNvPr id="3114" name="Check_Korea" hidden="1">
              <a:extLst>
                <a:ext uri="{63B3BB69-23CF-44E3-9099-C40C66FF867C}">
                  <a14:compatExt spid="_x0000_s31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Korean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37</xdr:row>
          <xdr:rowOff>38100</xdr:rowOff>
        </xdr:from>
        <xdr:to>
          <xdr:col>8</xdr:col>
          <xdr:colOff>523875</xdr:colOff>
          <xdr:row>38</xdr:row>
          <xdr:rowOff>95250</xdr:rowOff>
        </xdr:to>
        <xdr:sp macro="" textlink="">
          <xdr:nvSpPr>
            <xdr:cNvPr id="3115" name="Check_Sweden" hidden="1">
              <a:extLst>
                <a:ext uri="{63B3BB69-23CF-44E3-9099-C40C66FF867C}">
                  <a14:compatExt spid="_x0000_s31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Swedish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38</xdr:row>
          <xdr:rowOff>76200</xdr:rowOff>
        </xdr:from>
        <xdr:to>
          <xdr:col>9</xdr:col>
          <xdr:colOff>228600</xdr:colOff>
          <xdr:row>39</xdr:row>
          <xdr:rowOff>133350</xdr:rowOff>
        </xdr:to>
        <xdr:sp macro="" textlink="">
          <xdr:nvSpPr>
            <xdr:cNvPr id="3116" name="Check_IsraelHebrew" hidden="1">
              <a:extLst>
                <a:ext uri="{63B3BB69-23CF-44E3-9099-C40C66FF867C}">
                  <a14:compatExt spid="_x0000_s31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Hebrew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39</xdr:row>
          <xdr:rowOff>104775</xdr:rowOff>
        </xdr:from>
        <xdr:to>
          <xdr:col>9</xdr:col>
          <xdr:colOff>47625</xdr:colOff>
          <xdr:row>41</xdr:row>
          <xdr:rowOff>0</xdr:rowOff>
        </xdr:to>
        <xdr:sp macro="" textlink="">
          <xdr:nvSpPr>
            <xdr:cNvPr id="3117" name="Check_Spain" hidden="1">
              <a:extLst>
                <a:ext uri="{63B3BB69-23CF-44E3-9099-C40C66FF867C}">
                  <a14:compatExt spid="_x0000_s31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Spanish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40</xdr:row>
          <xdr:rowOff>142875</xdr:rowOff>
        </xdr:from>
        <xdr:to>
          <xdr:col>2</xdr:col>
          <xdr:colOff>600075</xdr:colOff>
          <xdr:row>42</xdr:row>
          <xdr:rowOff>38100</xdr:rowOff>
        </xdr:to>
        <xdr:sp macro="" textlink="">
          <xdr:nvSpPr>
            <xdr:cNvPr id="3118" name="Check_Greece" hidden="1">
              <a:extLst>
                <a:ext uri="{63B3BB69-23CF-44E3-9099-C40C66FF867C}">
                  <a14:compatExt spid="_x0000_s31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Greek</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34</xdr:row>
          <xdr:rowOff>133350</xdr:rowOff>
        </xdr:from>
        <xdr:to>
          <xdr:col>5</xdr:col>
          <xdr:colOff>123825</xdr:colOff>
          <xdr:row>36</xdr:row>
          <xdr:rowOff>28575</xdr:rowOff>
        </xdr:to>
        <xdr:sp macro="" textlink="">
          <xdr:nvSpPr>
            <xdr:cNvPr id="3119" name="Check_Portugal" hidden="1">
              <a:extLst>
                <a:ext uri="{63B3BB69-23CF-44E3-9099-C40C66FF867C}">
                  <a14:compatExt spid="_x0000_s31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Portuguese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83</xdr:row>
          <xdr:rowOff>76200</xdr:rowOff>
        </xdr:from>
        <xdr:to>
          <xdr:col>4</xdr:col>
          <xdr:colOff>409575</xdr:colOff>
          <xdr:row>84</xdr:row>
          <xdr:rowOff>142875</xdr:rowOff>
        </xdr:to>
        <xdr:sp macro="" textlink="">
          <xdr:nvSpPr>
            <xdr:cNvPr id="3138" name="Option_Cycle_AllConfigurations" hidden="1">
              <a:extLst>
                <a:ext uri="{63B3BB69-23CF-44E3-9099-C40C66FF867C}">
                  <a14:compatExt spid="_x0000_s31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Cycle Configurations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83</xdr:row>
          <xdr:rowOff>76200</xdr:rowOff>
        </xdr:from>
        <xdr:to>
          <xdr:col>6</xdr:col>
          <xdr:colOff>276225</xdr:colOff>
          <xdr:row>84</xdr:row>
          <xdr:rowOff>142875</xdr:rowOff>
        </xdr:to>
        <xdr:sp macro="" textlink="">
          <xdr:nvSpPr>
            <xdr:cNvPr id="3139" name="Option_Cycle_RecentConfiguration" hidden="1">
              <a:extLst>
                <a:ext uri="{63B3BB69-23CF-44E3-9099-C40C66FF867C}">
                  <a14:compatExt spid="_x0000_s31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Most Recent Configuration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82</xdr:row>
          <xdr:rowOff>85725</xdr:rowOff>
        </xdr:from>
        <xdr:to>
          <xdr:col>6</xdr:col>
          <xdr:colOff>371475</xdr:colOff>
          <xdr:row>85</xdr:row>
          <xdr:rowOff>57150</xdr:rowOff>
        </xdr:to>
        <xdr:sp macro="" textlink="">
          <xdr:nvSpPr>
            <xdr:cNvPr id="3143" name="Group_Cycle_Configurations" hidden="1">
              <a:extLst>
                <a:ext uri="{63B3BB69-23CF-44E3-9099-C40C66FF867C}">
                  <a14:compatExt spid="_x0000_s314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Cycle Configurations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12</xdr:row>
          <xdr:rowOff>0</xdr:rowOff>
        </xdr:from>
        <xdr:to>
          <xdr:col>4</xdr:col>
          <xdr:colOff>133350</xdr:colOff>
          <xdr:row>13</xdr:row>
          <xdr:rowOff>76200</xdr:rowOff>
        </xdr:to>
        <xdr:sp macro="" textlink="">
          <xdr:nvSpPr>
            <xdr:cNvPr id="3129" name="Option_Mode_Design" hidden="1">
              <a:extLst>
                <a:ext uri="{63B3BB69-23CF-44E3-9099-C40C66FF867C}">
                  <a14:compatExt spid="_x0000_s31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342900</xdr:colOff>
          <xdr:row>12</xdr:row>
          <xdr:rowOff>0</xdr:rowOff>
        </xdr:from>
        <xdr:to>
          <xdr:col>5</xdr:col>
          <xdr:colOff>276225</xdr:colOff>
          <xdr:row>13</xdr:row>
          <xdr:rowOff>66675</xdr:rowOff>
        </xdr:to>
        <xdr:sp macro="" textlink="">
          <xdr:nvSpPr>
            <xdr:cNvPr id="3130" name="Option_Mode_TestPlanning" hidden="1">
              <a:extLst>
                <a:ext uri="{63B3BB69-23CF-44E3-9099-C40C66FF867C}">
                  <a14:compatExt spid="_x0000_s31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12</xdr:row>
          <xdr:rowOff>0</xdr:rowOff>
        </xdr:from>
        <xdr:to>
          <xdr:col>7</xdr:col>
          <xdr:colOff>342900</xdr:colOff>
          <xdr:row>13</xdr:row>
          <xdr:rowOff>66675</xdr:rowOff>
        </xdr:to>
        <xdr:sp macro="" textlink="">
          <xdr:nvSpPr>
            <xdr:cNvPr id="3131" name="Option_Mode_TestExecution" hidden="1">
              <a:extLst>
                <a:ext uri="{63B3BB69-23CF-44E3-9099-C40C66FF867C}">
                  <a14:compatExt spid="_x0000_s31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11</xdr:row>
          <xdr:rowOff>47625</xdr:rowOff>
        </xdr:from>
        <xdr:to>
          <xdr:col>7</xdr:col>
          <xdr:colOff>428625</xdr:colOff>
          <xdr:row>14</xdr:row>
          <xdr:rowOff>0</xdr:rowOff>
        </xdr:to>
        <xdr:sp macro="" textlink="">
          <xdr:nvSpPr>
            <xdr:cNvPr id="3157" name="Group_Mode" hidden="1">
              <a:extLst>
                <a:ext uri="{63B3BB69-23CF-44E3-9099-C40C66FF867C}">
                  <a14:compatExt spid="_x0000_s315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Matrix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276225</xdr:colOff>
          <xdr:row>57</xdr:row>
          <xdr:rowOff>142875</xdr:rowOff>
        </xdr:from>
        <xdr:to>
          <xdr:col>3</xdr:col>
          <xdr:colOff>447675</xdr:colOff>
          <xdr:row>59</xdr:row>
          <xdr:rowOff>57150</xdr:rowOff>
        </xdr:to>
        <xdr:sp macro="" textlink="">
          <xdr:nvSpPr>
            <xdr:cNvPr id="3163" name="Option_TestResults_TestSuites" hidden="1">
              <a:extLst>
                <a:ext uri="{63B3BB69-23CF-44E3-9099-C40C66FF867C}">
                  <a14:compatExt spid="_x0000_s3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Suites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57</xdr:row>
          <xdr:rowOff>142875</xdr:rowOff>
        </xdr:from>
        <xdr:to>
          <xdr:col>4</xdr:col>
          <xdr:colOff>847725</xdr:colOff>
          <xdr:row>59</xdr:row>
          <xdr:rowOff>57150</xdr:rowOff>
        </xdr:to>
        <xdr:sp macro="" textlink="">
          <xdr:nvSpPr>
            <xdr:cNvPr id="3164" name="Option_TestResults_TestCases" hidden="1">
              <a:extLst>
                <a:ext uri="{63B3BB69-23CF-44E3-9099-C40C66FF867C}">
                  <a14:compatExt spid="_x0000_s3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Cases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57</xdr:row>
          <xdr:rowOff>133350</xdr:rowOff>
        </xdr:from>
        <xdr:to>
          <xdr:col>6</xdr:col>
          <xdr:colOff>152400</xdr:colOff>
          <xdr:row>59</xdr:row>
          <xdr:rowOff>47625</xdr:rowOff>
        </xdr:to>
        <xdr:sp macro="" textlink="">
          <xdr:nvSpPr>
            <xdr:cNvPr id="3165" name="Option_TestResults_TestSteps" hidden="1">
              <a:extLst>
                <a:ext uri="{63B3BB69-23CF-44E3-9099-C40C66FF867C}">
                  <a14:compatExt spid="_x0000_s3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Steps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57</xdr:row>
          <xdr:rowOff>0</xdr:rowOff>
        </xdr:from>
        <xdr:to>
          <xdr:col>6</xdr:col>
          <xdr:colOff>352425</xdr:colOff>
          <xdr:row>59</xdr:row>
          <xdr:rowOff>123825</xdr:rowOff>
        </xdr:to>
        <xdr:sp macro="" textlink="">
          <xdr:nvSpPr>
            <xdr:cNvPr id="3167" name="Group Box 95" hidden="1">
              <a:extLst>
                <a:ext uri="{63B3BB69-23CF-44E3-9099-C40C66FF867C}">
                  <a14:compatExt spid="_x0000_s316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Test Results Entry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28575</xdr:rowOff>
        </xdr:from>
        <xdr:to>
          <xdr:col>3</xdr:col>
          <xdr:colOff>390525</xdr:colOff>
          <xdr:row>88</xdr:row>
          <xdr:rowOff>95250</xdr:rowOff>
        </xdr:to>
        <xdr:sp macro="" textlink="">
          <xdr:nvSpPr>
            <xdr:cNvPr id="3171" name="Option Button 99" hidden="1">
              <a:extLst>
                <a:ext uri="{63B3BB69-23CF-44E3-9099-C40C66FF867C}">
                  <a14:compatExt spid="_x0000_s31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87</xdr:row>
          <xdr:rowOff>28575</xdr:rowOff>
        </xdr:from>
        <xdr:to>
          <xdr:col>4</xdr:col>
          <xdr:colOff>723900</xdr:colOff>
          <xdr:row>88</xdr:row>
          <xdr:rowOff>95250</xdr:rowOff>
        </xdr:to>
        <xdr:sp macro="" textlink="">
          <xdr:nvSpPr>
            <xdr:cNvPr id="3172" name="Option Button 100" hidden="1">
              <a:extLst>
                <a:ext uri="{63B3BB69-23CF-44E3-9099-C40C66FF867C}">
                  <a14:compatExt spid="_x0000_s31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Last Entry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86</xdr:row>
          <xdr:rowOff>85725</xdr:rowOff>
        </xdr:from>
        <xdr:to>
          <xdr:col>6</xdr:col>
          <xdr:colOff>371475</xdr:colOff>
          <xdr:row>89</xdr:row>
          <xdr:rowOff>38100</xdr:rowOff>
        </xdr:to>
        <xdr:sp macro="" textlink="">
          <xdr:nvSpPr>
            <xdr:cNvPr id="3173" name="Group_ResultsConsolidation" hidden="1">
              <a:extLst>
                <a:ext uri="{63B3BB69-23CF-44E3-9099-C40C66FF867C}">
                  <a14:compatExt spid="_x0000_s317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Consolidated Results (CR)</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914400</xdr:colOff>
          <xdr:row>87</xdr:row>
          <xdr:rowOff>28575</xdr:rowOff>
        </xdr:from>
        <xdr:to>
          <xdr:col>6</xdr:col>
          <xdr:colOff>161925</xdr:colOff>
          <xdr:row>88</xdr:row>
          <xdr:rowOff>95250</xdr:rowOff>
        </xdr:to>
        <xdr:sp macro="" textlink="">
          <xdr:nvSpPr>
            <xdr:cNvPr id="3178" name="Option Button 106" hidden="1">
              <a:extLst>
                <a:ext uri="{63B3BB69-23CF-44E3-9099-C40C66FF867C}">
                  <a14:compatExt spid="_x0000_s31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Active Config</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87</xdr:row>
          <xdr:rowOff>38100</xdr:rowOff>
        </xdr:from>
        <xdr:to>
          <xdr:col>8</xdr:col>
          <xdr:colOff>190500</xdr:colOff>
          <xdr:row>88</xdr:row>
          <xdr:rowOff>104775</xdr:rowOff>
        </xdr:to>
        <xdr:sp macro="" textlink="">
          <xdr:nvSpPr>
            <xdr:cNvPr id="3174" name="Option Button 102" hidden="1">
              <a:extLst>
                <a:ext uri="{63B3BB69-23CF-44E3-9099-C40C66FF867C}">
                  <a14:compatExt spid="_x0000_s31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87</xdr:row>
          <xdr:rowOff>38100</xdr:rowOff>
        </xdr:from>
        <xdr:to>
          <xdr:col>9</xdr:col>
          <xdr:colOff>571500</xdr:colOff>
          <xdr:row>88</xdr:row>
          <xdr:rowOff>104775</xdr:rowOff>
        </xdr:to>
        <xdr:sp macro="" textlink="">
          <xdr:nvSpPr>
            <xdr:cNvPr id="3175" name="Option Button 103" hidden="1">
              <a:extLst>
                <a:ext uri="{63B3BB69-23CF-44E3-9099-C40C66FF867C}">
                  <a14:compatExt spid="_x0000_s31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Last Entry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466725</xdr:colOff>
          <xdr:row>86</xdr:row>
          <xdr:rowOff>85725</xdr:rowOff>
        </xdr:from>
        <xdr:to>
          <xdr:col>11</xdr:col>
          <xdr:colOff>561975</xdr:colOff>
          <xdr:row>89</xdr:row>
          <xdr:rowOff>38100</xdr:rowOff>
        </xdr:to>
        <xdr:sp macro="" textlink="">
          <xdr:nvSpPr>
            <xdr:cNvPr id="3176" name="Group_ResultsConsolidationBG" hidden="1">
              <a:extLst>
                <a:ext uri="{63B3BB69-23CF-44E3-9099-C40C66FF867C}">
                  <a14:compatExt spid="_x0000_s317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Consolidated Results Background (CR-BG)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87</xdr:row>
          <xdr:rowOff>28575</xdr:rowOff>
        </xdr:from>
        <xdr:to>
          <xdr:col>11</xdr:col>
          <xdr:colOff>476250</xdr:colOff>
          <xdr:row>88</xdr:row>
          <xdr:rowOff>95250</xdr:rowOff>
        </xdr:to>
        <xdr:sp macro="" textlink="">
          <xdr:nvSpPr>
            <xdr:cNvPr id="3179" name="Option Button 107" hidden="1">
              <a:extLst>
                <a:ext uri="{63B3BB69-23CF-44E3-9099-C40C66FF867C}">
                  <a14:compatExt spid="_x0000_s31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Active Config</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83</xdr:row>
          <xdr:rowOff>57150</xdr:rowOff>
        </xdr:from>
        <xdr:to>
          <xdr:col>8</xdr:col>
          <xdr:colOff>428625</xdr:colOff>
          <xdr:row>84</xdr:row>
          <xdr:rowOff>123825</xdr:rowOff>
        </xdr:to>
        <xdr:sp macro="" textlink="">
          <xdr:nvSpPr>
            <xdr:cNvPr id="3145" name="Option_CycleResults_All" hidden="1">
              <a:extLst>
                <a:ext uri="{63B3BB69-23CF-44E3-9099-C40C66FF867C}">
                  <a14:compatExt spid="_x0000_s31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Test Results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83</xdr:row>
          <xdr:rowOff>57150</xdr:rowOff>
        </xdr:from>
        <xdr:to>
          <xdr:col>9</xdr:col>
          <xdr:colOff>342900</xdr:colOff>
          <xdr:row>84</xdr:row>
          <xdr:rowOff>123825</xdr:rowOff>
        </xdr:to>
        <xdr:sp macro="" textlink="">
          <xdr:nvSpPr>
            <xdr:cNvPr id="3146" name="Option_CycleResults_CR" hidden="1">
              <a:extLst>
                <a:ext uri="{63B3BB69-23CF-44E3-9099-C40C66FF867C}">
                  <a14:compatExt spid="_x0000_s31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CR</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476250</xdr:colOff>
          <xdr:row>82</xdr:row>
          <xdr:rowOff>85725</xdr:rowOff>
        </xdr:from>
        <xdr:to>
          <xdr:col>11</xdr:col>
          <xdr:colOff>561975</xdr:colOff>
          <xdr:row>85</xdr:row>
          <xdr:rowOff>57150</xdr:rowOff>
        </xdr:to>
        <xdr:sp macro="" textlink="">
          <xdr:nvSpPr>
            <xdr:cNvPr id="3147" name="Group_Cycle_Results" hidden="1">
              <a:extLst>
                <a:ext uri="{63B3BB69-23CF-44E3-9099-C40C66FF867C}">
                  <a14:compatExt spid="_x0000_s314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Cycle Results (By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83</xdr:row>
          <xdr:rowOff>57150</xdr:rowOff>
        </xdr:from>
        <xdr:to>
          <xdr:col>11</xdr:col>
          <xdr:colOff>161925</xdr:colOff>
          <xdr:row>84</xdr:row>
          <xdr:rowOff>123825</xdr:rowOff>
        </xdr:to>
        <xdr:sp macro="" textlink="">
          <xdr:nvSpPr>
            <xdr:cNvPr id="3180" name="Option_CycleResults_CRBG" hidden="1">
              <a:extLst>
                <a:ext uri="{63B3BB69-23CF-44E3-9099-C40C66FF867C}">
                  <a14:compatExt spid="_x0000_s31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CR-BG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91</xdr:row>
          <xdr:rowOff>19050</xdr:rowOff>
        </xdr:from>
        <xdr:to>
          <xdr:col>4</xdr:col>
          <xdr:colOff>276225</xdr:colOff>
          <xdr:row>92</xdr:row>
          <xdr:rowOff>85725</xdr:rowOff>
        </xdr:to>
        <xdr:sp macro="" textlink="">
          <xdr:nvSpPr>
            <xdr:cNvPr id="3186" name="Option Button 114" hidden="1">
              <a:extLst>
                <a:ext uri="{63B3BB69-23CF-44E3-9099-C40C66FF867C}">
                  <a14:compatExt spid="_x0000_s31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Consolidated Results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91</xdr:row>
          <xdr:rowOff>9525</xdr:rowOff>
        </xdr:from>
        <xdr:to>
          <xdr:col>6</xdr:col>
          <xdr:colOff>266700</xdr:colOff>
          <xdr:row>92</xdr:row>
          <xdr:rowOff>76200</xdr:rowOff>
        </xdr:to>
        <xdr:sp macro="" textlink="">
          <xdr:nvSpPr>
            <xdr:cNvPr id="3187" name="Option Button 115" hidden="1">
              <a:extLst>
                <a:ext uri="{63B3BB69-23CF-44E3-9099-C40C66FF867C}">
                  <a14:compatExt spid="_x0000_s31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Consolidated Results (BG)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90</xdr:row>
          <xdr:rowOff>38100</xdr:rowOff>
        </xdr:from>
        <xdr:to>
          <xdr:col>6</xdr:col>
          <xdr:colOff>371475</xdr:colOff>
          <xdr:row>93</xdr:row>
          <xdr:rowOff>9525</xdr:rowOff>
        </xdr:to>
        <xdr:sp macro="" textlink="">
          <xdr:nvSpPr>
            <xdr:cNvPr id="3188" name="Group Box 116" hidden="1">
              <a:extLst>
                <a:ext uri="{63B3BB69-23CF-44E3-9099-C40C66FF867C}">
                  <a14:compatExt spid="_x0000_s3188"/>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Test Results Rollups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94</xdr:row>
          <xdr:rowOff>142875</xdr:rowOff>
        </xdr:from>
        <xdr:to>
          <xdr:col>4</xdr:col>
          <xdr:colOff>200025</xdr:colOff>
          <xdr:row>96</xdr:row>
          <xdr:rowOff>57150</xdr:rowOff>
        </xdr:to>
        <xdr:sp macro="" textlink="">
          <xdr:nvSpPr>
            <xdr:cNvPr id="3197" name="Option Button 125" hidden="1">
              <a:extLst>
                <a:ext uri="{63B3BB69-23CF-44E3-9099-C40C66FF867C}">
                  <a14:compatExt spid="_x0000_s31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Available Tests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94</xdr:row>
          <xdr:rowOff>142875</xdr:rowOff>
        </xdr:from>
        <xdr:to>
          <xdr:col>6</xdr:col>
          <xdr:colOff>104775</xdr:colOff>
          <xdr:row>96</xdr:row>
          <xdr:rowOff>57150</xdr:rowOff>
        </xdr:to>
        <xdr:sp macro="" textlink="">
          <xdr:nvSpPr>
            <xdr:cNvPr id="3198" name="Option Button 126" hidden="1">
              <a:extLst>
                <a:ext uri="{63B3BB69-23CF-44E3-9099-C40C66FF867C}">
                  <a14:compatExt spid="_x0000_s31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Tests marked with X</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94</xdr:row>
          <xdr:rowOff>19050</xdr:rowOff>
        </xdr:from>
        <xdr:to>
          <xdr:col>6</xdr:col>
          <xdr:colOff>361950</xdr:colOff>
          <xdr:row>97</xdr:row>
          <xdr:rowOff>9525</xdr:rowOff>
        </xdr:to>
        <xdr:sp macro="" textlink="">
          <xdr:nvSpPr>
            <xdr:cNvPr id="3199" name="Group Box 127" hidden="1">
              <a:extLst>
                <a:ext uri="{63B3BB69-23CF-44E3-9099-C40C66FF867C}">
                  <a14:compatExt spid="_x0000_s319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Required Tests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52</xdr:row>
          <xdr:rowOff>114300</xdr:rowOff>
        </xdr:from>
        <xdr:to>
          <xdr:col>6</xdr:col>
          <xdr:colOff>361950</xdr:colOff>
          <xdr:row>55</xdr:row>
          <xdr:rowOff>104775</xdr:rowOff>
        </xdr:to>
        <xdr:sp macro="" textlink="">
          <xdr:nvSpPr>
            <xdr:cNvPr id="3219" name="Group Box 147" hidden="1">
              <a:extLst>
                <a:ext uri="{63B3BB69-23CF-44E3-9099-C40C66FF867C}">
                  <a14:compatExt spid="_x0000_s321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New Configuration Column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466725</xdr:colOff>
          <xdr:row>52</xdr:row>
          <xdr:rowOff>114300</xdr:rowOff>
        </xdr:from>
        <xdr:to>
          <xdr:col>11</xdr:col>
          <xdr:colOff>571500</xdr:colOff>
          <xdr:row>55</xdr:row>
          <xdr:rowOff>104775</xdr:rowOff>
        </xdr:to>
        <xdr:sp macro="" textlink="">
          <xdr:nvSpPr>
            <xdr:cNvPr id="3220" name="Group Box 148" hidden="1">
              <a:extLst>
                <a:ext uri="{63B3BB69-23CF-44E3-9099-C40C66FF867C}">
                  <a14:compatExt spid="_x0000_s322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New Cycle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53</xdr:row>
          <xdr:rowOff>76200</xdr:rowOff>
        </xdr:from>
        <xdr:to>
          <xdr:col>8</xdr:col>
          <xdr:colOff>257175</xdr:colOff>
          <xdr:row>54</xdr:row>
          <xdr:rowOff>142875</xdr:rowOff>
        </xdr:to>
        <xdr:sp macro="" textlink="">
          <xdr:nvSpPr>
            <xdr:cNvPr id="3221" name="Option_NewCyclePermission_Design" hidden="1">
              <a:extLst>
                <a:ext uri="{63B3BB69-23CF-44E3-9099-C40C66FF867C}">
                  <a14:compatExt spid="_x0000_s3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53</xdr:row>
          <xdr:rowOff>76200</xdr:rowOff>
        </xdr:from>
        <xdr:to>
          <xdr:col>10</xdr:col>
          <xdr:colOff>47625</xdr:colOff>
          <xdr:row>54</xdr:row>
          <xdr:rowOff>142875</xdr:rowOff>
        </xdr:to>
        <xdr:sp macro="" textlink="">
          <xdr:nvSpPr>
            <xdr:cNvPr id="3222" name="Option Button 150" hidden="1">
              <a:extLst>
                <a:ext uri="{63B3BB69-23CF-44E3-9099-C40C66FF867C}">
                  <a14:compatExt spid="_x0000_s32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53</xdr:row>
          <xdr:rowOff>66675</xdr:rowOff>
        </xdr:from>
        <xdr:to>
          <xdr:col>11</xdr:col>
          <xdr:colOff>400050</xdr:colOff>
          <xdr:row>54</xdr:row>
          <xdr:rowOff>133350</xdr:rowOff>
        </xdr:to>
        <xdr:sp macro="" textlink="">
          <xdr:nvSpPr>
            <xdr:cNvPr id="3223" name="Option Button 151" hidden="1">
              <a:extLst>
                <a:ext uri="{63B3BB69-23CF-44E3-9099-C40C66FF867C}">
                  <a14:compatExt spid="_x0000_s32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285750</xdr:colOff>
          <xdr:row>53</xdr:row>
          <xdr:rowOff>95250</xdr:rowOff>
        </xdr:from>
        <xdr:to>
          <xdr:col>3</xdr:col>
          <xdr:colOff>447675</xdr:colOff>
          <xdr:row>55</xdr:row>
          <xdr:rowOff>9525</xdr:rowOff>
        </xdr:to>
        <xdr:sp macro="" textlink="">
          <xdr:nvSpPr>
            <xdr:cNvPr id="3224" name="Option Button 152" hidden="1">
              <a:extLst>
                <a:ext uri="{63B3BB69-23CF-44E3-9099-C40C66FF867C}">
                  <a14:compatExt spid="_x0000_s32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53</xdr:row>
          <xdr:rowOff>95250</xdr:rowOff>
        </xdr:from>
        <xdr:to>
          <xdr:col>4</xdr:col>
          <xdr:colOff>847725</xdr:colOff>
          <xdr:row>55</xdr:row>
          <xdr:rowOff>9525</xdr:rowOff>
        </xdr:to>
        <xdr:sp macro="" textlink="">
          <xdr:nvSpPr>
            <xdr:cNvPr id="3225" name="Option Button 153" hidden="1">
              <a:extLst>
                <a:ext uri="{63B3BB69-23CF-44E3-9099-C40C66FF867C}">
                  <a14:compatExt spid="_x0000_s3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1028700</xdr:colOff>
          <xdr:row>53</xdr:row>
          <xdr:rowOff>85725</xdr:rowOff>
        </xdr:from>
        <xdr:to>
          <xdr:col>6</xdr:col>
          <xdr:colOff>152400</xdr:colOff>
          <xdr:row>55</xdr:row>
          <xdr:rowOff>0</xdr:rowOff>
        </xdr:to>
        <xdr:sp macro="" textlink="">
          <xdr:nvSpPr>
            <xdr:cNvPr id="3226" name="Option Button 154" hidden="1">
              <a:extLst>
                <a:ext uri="{63B3BB69-23CF-44E3-9099-C40C66FF867C}">
                  <a14:compatExt spid="_x0000_s3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18</xdr:row>
          <xdr:rowOff>57150</xdr:rowOff>
        </xdr:from>
        <xdr:to>
          <xdr:col>11</xdr:col>
          <xdr:colOff>419100</xdr:colOff>
          <xdr:row>29</xdr:row>
          <xdr:rowOff>133350</xdr:rowOff>
        </xdr:to>
        <xdr:grpSp>
          <xdr:nvGrpSpPr>
            <xdr:cNvPr id="3305" name="Group 233"/>
            <xdr:cNvGrpSpPr>
              <a:grpSpLocks/>
            </xdr:cNvGrpSpPr>
          </xdr:nvGrpSpPr>
          <xdr:grpSpPr bwMode="auto">
            <a:xfrm>
              <a:off x="2638425" y="2295525"/>
              <a:ext cx="55612855500" cy="2295525"/>
              <a:chOff x="277" y="0"/>
              <a:chExt cx="5838620" cy="2295525"/>
            </a:xfrm>
          </xdr:grpSpPr>
          <xdr:sp macro="" textlink="">
            <xdr:nvSpPr>
              <xdr:cNvPr id="3075" name="Check_W2KPro" hidden="1">
                <a:extLst>
                  <a:ext uri="{63B3BB69-23CF-44E3-9099-C40C66FF867C}">
                    <a14:compatExt spid="_x0000_s3075"/>
                  </a:ext>
                </a:extLst>
              </xdr:cNvPr>
              <xdr:cNvSpPr/>
            </xdr:nvSpPr>
            <xdr:spPr>
              <a:xfrm>
                <a:off x="1590640" y="2295525"/>
                <a:ext cx="7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a:t>
                </a:r>
              </a:p>
            </xdr:txBody>
          </xdr:sp>
          <xdr:sp macro="" textlink="">
            <xdr:nvSpPr>
              <xdr:cNvPr id="3076" name="Check_W2KServer" hidden="1">
                <a:extLst>
                  <a:ext uri="{63B3BB69-23CF-44E3-9099-C40C66FF867C}">
                    <a14:compatExt spid="_x0000_s3076"/>
                  </a:ext>
                </a:extLst>
              </xdr:cNvPr>
              <xdr:cNvSpPr/>
            </xdr:nvSpPr>
            <xdr:spPr>
              <a:xfrm>
                <a:off x="1676356" y="2295525"/>
                <a:ext cx="88"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 Server</a:t>
                </a:r>
              </a:p>
            </xdr:txBody>
          </xdr:sp>
          <xdr:sp macro="" textlink="">
            <xdr:nvSpPr>
              <xdr:cNvPr id="3077" name="Check_WXPPro" hidden="1">
                <a:extLst>
                  <a:ext uri="{63B3BB69-23CF-44E3-9099-C40C66FF867C}">
                    <a14:compatExt spid="_x0000_s3077"/>
                  </a:ext>
                </a:extLst>
              </xdr:cNvPr>
              <xdr:cNvSpPr/>
            </xdr:nvSpPr>
            <xdr:spPr>
              <a:xfrm>
                <a:off x="2995576" y="2295525"/>
                <a:ext cx="7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a:t>
                </a:r>
              </a:p>
            </xdr:txBody>
          </xdr:sp>
          <xdr:sp macro="" textlink="">
            <xdr:nvSpPr>
              <xdr:cNvPr id="3078" name="Check_WXP_Home" hidden="1">
                <a:extLst>
                  <a:ext uri="{63B3BB69-23CF-44E3-9099-C40C66FF867C}">
                    <a14:compatExt spid="_x0000_s3078"/>
                  </a:ext>
                </a:extLst>
              </xdr:cNvPr>
              <xdr:cNvSpPr/>
            </xdr:nvSpPr>
            <xdr:spPr>
              <a:xfrm>
                <a:off x="3057482" y="2295525"/>
                <a:ext cx="86"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Home</a:t>
                </a:r>
              </a:p>
            </xdr:txBody>
          </xdr:sp>
          <xdr:sp macro="" textlink="">
            <xdr:nvSpPr>
              <xdr:cNvPr id="3079" name="Check_WXPProTE" hidden="1">
                <a:extLst>
                  <a:ext uri="{63B3BB69-23CF-44E3-9099-C40C66FF867C}">
                    <a14:compatExt spid="_x0000_s3079"/>
                  </a:ext>
                </a:extLst>
              </xdr:cNvPr>
              <xdr:cNvSpPr/>
            </xdr:nvSpPr>
            <xdr:spPr>
              <a:xfrm>
                <a:off x="3105102" y="2295525"/>
                <a:ext cx="96"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 (TE)</a:t>
                </a:r>
              </a:p>
            </xdr:txBody>
          </xdr:sp>
          <xdr:sp macro="" textlink="">
            <xdr:nvSpPr>
              <xdr:cNvPr id="3080" name="Check_W2KAdvancedServer" hidden="1">
                <a:extLst>
                  <a:ext uri="{63B3BB69-23CF-44E3-9099-C40C66FF867C}">
                    <a14:compatExt spid="_x0000_s3080"/>
                  </a:ext>
                </a:extLst>
              </xdr:cNvPr>
              <xdr:cNvSpPr/>
            </xdr:nvSpPr>
            <xdr:spPr>
              <a:xfrm>
                <a:off x="1943028" y="2295525"/>
                <a:ext cx="144"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 Advanced Server</a:t>
                </a:r>
              </a:p>
            </xdr:txBody>
          </xdr:sp>
          <xdr:sp macro="" textlink="">
            <xdr:nvSpPr>
              <xdr:cNvPr id="3081" name="Check_WXPMCE" hidden="1">
                <a:extLst>
                  <a:ext uri="{63B3BB69-23CF-44E3-9099-C40C66FF867C}">
                    <a14:compatExt spid="_x0000_s3081"/>
                  </a:ext>
                </a:extLst>
              </xdr:cNvPr>
              <xdr:cNvSpPr/>
            </xdr:nvSpPr>
            <xdr:spPr>
              <a:xfrm>
                <a:off x="3019385" y="2295525"/>
                <a:ext cx="8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MCE</a:t>
                </a:r>
              </a:p>
            </xdr:txBody>
          </xdr:sp>
          <xdr:sp macro="" textlink="">
            <xdr:nvSpPr>
              <xdr:cNvPr id="3082" name="Check_VistaHomeBasic" hidden="1">
                <a:extLst>
                  <a:ext uri="{63B3BB69-23CF-44E3-9099-C40C66FF867C}">
                    <a14:compatExt spid="_x0000_s3082"/>
                  </a:ext>
                </a:extLst>
              </xdr:cNvPr>
              <xdr:cNvSpPr/>
            </xdr:nvSpPr>
            <xdr:spPr>
              <a:xfrm>
                <a:off x="4357630" y="2295525"/>
                <a:ext cx="115"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Basic</a:t>
                </a:r>
              </a:p>
            </xdr:txBody>
          </xdr:sp>
          <xdr:sp macro="" textlink="">
            <xdr:nvSpPr>
              <xdr:cNvPr id="3083" name="Check_VistaHomePremium" hidden="1">
                <a:extLst>
                  <a:ext uri="{63B3BB69-23CF-44E3-9099-C40C66FF867C}">
                    <a14:compatExt spid="_x0000_s3083"/>
                  </a:ext>
                </a:extLst>
              </xdr:cNvPr>
              <xdr:cNvSpPr/>
            </xdr:nvSpPr>
            <xdr:spPr>
              <a:xfrm>
                <a:off x="4438584" y="2295525"/>
                <a:ext cx="132"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Premium</a:t>
                </a:r>
              </a:p>
            </xdr:txBody>
          </xdr:sp>
          <xdr:sp macro="" textlink="">
            <xdr:nvSpPr>
              <xdr:cNvPr id="3084" name="Check_VistaBusiness" hidden="1">
                <a:extLst>
                  <a:ext uri="{63B3BB69-23CF-44E3-9099-C40C66FF867C}">
                    <a14:compatExt spid="_x0000_s3084"/>
                  </a:ext>
                </a:extLst>
              </xdr:cNvPr>
              <xdr:cNvSpPr/>
            </xdr:nvSpPr>
            <xdr:spPr>
              <a:xfrm>
                <a:off x="4276676" y="2295525"/>
                <a:ext cx="98"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Business</a:t>
                </a:r>
              </a:p>
            </xdr:txBody>
          </xdr:sp>
          <xdr:sp macro="" textlink="">
            <xdr:nvSpPr>
              <xdr:cNvPr id="3085" name="Check_VistaEnterprise" hidden="1">
                <a:extLst>
                  <a:ext uri="{63B3BB69-23CF-44E3-9099-C40C66FF867C}">
                    <a14:compatExt spid="_x0000_s3085"/>
                  </a:ext>
                </a:extLst>
              </xdr:cNvPr>
              <xdr:cNvSpPr/>
            </xdr:nvSpPr>
            <xdr:spPr>
              <a:xfrm>
                <a:off x="4324296" y="2295525"/>
                <a:ext cx="108"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Enterprise</a:t>
                </a:r>
              </a:p>
            </xdr:txBody>
          </xdr:sp>
          <xdr:sp macro="" textlink="">
            <xdr:nvSpPr>
              <xdr:cNvPr id="3086" name="Check_VistaUltimate" hidden="1">
                <a:extLst>
                  <a:ext uri="{63B3BB69-23CF-44E3-9099-C40C66FF867C}">
                    <a14:compatExt spid="_x0000_s3086"/>
                  </a:ext>
                </a:extLst>
              </xdr:cNvPr>
              <xdr:cNvSpPr/>
            </xdr:nvSpPr>
            <xdr:spPr>
              <a:xfrm>
                <a:off x="4281438" y="2295525"/>
                <a:ext cx="99"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Ultimate</a:t>
                </a:r>
              </a:p>
            </xdr:txBody>
          </xdr:sp>
          <xdr:sp macro="" textlink="">
            <xdr:nvSpPr>
              <xdr:cNvPr id="3087" name="Check_LinuxRedHat" hidden="1">
                <a:extLst>
                  <a:ext uri="{63B3BB69-23CF-44E3-9099-C40C66FF867C}">
                    <a14:compatExt spid="_x0000_s3087"/>
                  </a:ext>
                </a:extLst>
              </xdr:cNvPr>
              <xdr:cNvSpPr/>
            </xdr:nvSpPr>
            <xdr:spPr>
              <a:xfrm>
                <a:off x="709560" y="2295525"/>
                <a:ext cx="105"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Linux (RedHat)</a:t>
                </a:r>
              </a:p>
            </xdr:txBody>
          </xdr:sp>
          <xdr:sp macro="" textlink="">
            <xdr:nvSpPr>
              <xdr:cNvPr id="3088" name="Check_LinuxSuSe" hidden="1">
                <a:extLst>
                  <a:ext uri="{63B3BB69-23CF-44E3-9099-C40C66FF867C}">
                    <a14:compatExt spid="_x0000_s3088"/>
                  </a:ext>
                </a:extLst>
              </xdr:cNvPr>
              <xdr:cNvSpPr/>
            </xdr:nvSpPr>
            <xdr:spPr>
              <a:xfrm>
                <a:off x="642892" y="2295525"/>
                <a:ext cx="91"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Linux (SuSe)</a:t>
                </a:r>
              </a:p>
            </xdr:txBody>
          </xdr:sp>
          <xdr:sp macro="" textlink="">
            <xdr:nvSpPr>
              <xdr:cNvPr id="3089" name="Check_MSDOS" hidden="1">
                <a:extLst>
                  <a:ext uri="{63B3BB69-23CF-44E3-9099-C40C66FF867C}">
                    <a14:compatExt spid="_x0000_s3089"/>
                  </a:ext>
                </a:extLst>
              </xdr:cNvPr>
              <xdr:cNvSpPr/>
            </xdr:nvSpPr>
            <xdr:spPr>
              <a:xfrm>
                <a:off x="533365" y="2295525"/>
                <a:ext cx="7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MS-DOS</a:t>
                </a:r>
              </a:p>
            </xdr:txBody>
          </xdr:sp>
          <xdr:sp macro="" textlink="">
            <xdr:nvSpPr>
              <xdr:cNvPr id="3090" name="Check_FreeDOS" hidden="1">
                <a:extLst>
                  <a:ext uri="{63B3BB69-23CF-44E3-9099-C40C66FF867C}">
                    <a14:compatExt spid="_x0000_s3090"/>
                  </a:ext>
                </a:extLst>
              </xdr:cNvPr>
              <xdr:cNvSpPr/>
            </xdr:nvSpPr>
            <xdr:spPr>
              <a:xfrm>
                <a:off x="557176" y="2295525"/>
                <a:ext cx="7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FreeDOS</a:t>
                </a:r>
              </a:p>
            </xdr:txBody>
          </xdr:sp>
          <xdr:sp macro="" textlink="">
            <xdr:nvSpPr>
              <xdr:cNvPr id="3193" name="Check Box 121" hidden="1">
                <a:extLst>
                  <a:ext uri="{63B3BB69-23CF-44E3-9099-C40C66FF867C}">
                    <a14:compatExt spid="_x0000_s3193"/>
                  </a:ext>
                </a:extLst>
              </xdr:cNvPr>
              <xdr:cNvSpPr/>
            </xdr:nvSpPr>
            <xdr:spPr>
              <a:xfrm>
                <a:off x="500032" y="2295525"/>
                <a:ext cx="61"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Pre OS</a:t>
                </a:r>
              </a:p>
            </xdr:txBody>
          </xdr:sp>
          <xdr:sp macro="" textlink="">
            <xdr:nvSpPr>
              <xdr:cNvPr id="3237" name="Check_VistaHomeBasic64" hidden="1">
                <a:extLst>
                  <a:ext uri="{63B3BB69-23CF-44E3-9099-C40C66FF867C}">
                    <a14:compatExt spid="_x0000_s3237"/>
                  </a:ext>
                </a:extLst>
              </xdr:cNvPr>
              <xdr:cNvSpPr/>
            </xdr:nvSpPr>
            <xdr:spPr>
              <a:xfrm>
                <a:off x="5772085" y="2295525"/>
                <a:ext cx="13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Basic (64)</a:t>
                </a:r>
              </a:p>
            </xdr:txBody>
          </xdr:sp>
          <xdr:sp macro="" textlink="">
            <xdr:nvSpPr>
              <xdr:cNvPr id="3238" name="Check_VistaHomePremium64" hidden="1">
                <a:extLst>
                  <a:ext uri="{63B3BB69-23CF-44E3-9099-C40C66FF867C}">
                    <a14:compatExt spid="_x0000_s3238"/>
                  </a:ext>
                </a:extLst>
              </xdr:cNvPr>
              <xdr:cNvSpPr/>
            </xdr:nvSpPr>
            <xdr:spPr>
              <a:xfrm>
                <a:off x="5838753" y="2295525"/>
                <a:ext cx="144"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Premium (64)</a:t>
                </a:r>
              </a:p>
            </xdr:txBody>
          </xdr:sp>
          <xdr:sp macro="" textlink="">
            <xdr:nvSpPr>
              <xdr:cNvPr id="3239" name="Check_VistaBusiness64" hidden="1">
                <a:extLst>
                  <a:ext uri="{63B3BB69-23CF-44E3-9099-C40C66FF867C}">
                    <a14:compatExt spid="_x0000_s3239"/>
                  </a:ext>
                </a:extLst>
              </xdr:cNvPr>
              <xdr:cNvSpPr/>
            </xdr:nvSpPr>
            <xdr:spPr>
              <a:xfrm>
                <a:off x="5710179" y="2295525"/>
                <a:ext cx="117"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Business (64)</a:t>
                </a:r>
              </a:p>
            </xdr:txBody>
          </xdr:sp>
          <xdr:sp macro="" textlink="">
            <xdr:nvSpPr>
              <xdr:cNvPr id="3240" name="Check_VistaEnterprise64" hidden="1">
                <a:extLst>
                  <a:ext uri="{63B3BB69-23CF-44E3-9099-C40C66FF867C}">
                    <a14:compatExt spid="_x0000_s3240"/>
                  </a:ext>
                </a:extLst>
              </xdr:cNvPr>
              <xdr:cNvSpPr/>
            </xdr:nvSpPr>
            <xdr:spPr>
              <a:xfrm>
                <a:off x="5748275" y="2295525"/>
                <a:ext cx="125"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Enterprise (64)</a:t>
                </a:r>
              </a:p>
            </xdr:txBody>
          </xdr:sp>
          <xdr:sp macro="" textlink="">
            <xdr:nvSpPr>
              <xdr:cNvPr id="3241" name="Check_VistaUltimate64" hidden="1">
                <a:extLst>
                  <a:ext uri="{63B3BB69-23CF-44E3-9099-C40C66FF867C}">
                    <a14:compatExt spid="_x0000_s3241"/>
                  </a:ext>
                </a:extLst>
              </xdr:cNvPr>
              <xdr:cNvSpPr/>
            </xdr:nvSpPr>
            <xdr:spPr>
              <a:xfrm>
                <a:off x="5700655" y="2295525"/>
                <a:ext cx="115"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Ultimate (64)</a:t>
                </a:r>
              </a:p>
            </xdr:txBody>
          </xdr:sp>
          <xdr:sp macro="" textlink="">
            <xdr:nvSpPr>
              <xdr:cNvPr id="3247" name="Check_WXPPro64" hidden="1">
                <a:extLst>
                  <a:ext uri="{63B3BB69-23CF-44E3-9099-C40C66FF867C}">
                    <a14:compatExt spid="_x0000_s3247"/>
                  </a:ext>
                </a:extLst>
              </xdr:cNvPr>
              <xdr:cNvSpPr/>
            </xdr:nvSpPr>
            <xdr:spPr>
              <a:xfrm>
                <a:off x="3090815" y="2295525"/>
                <a:ext cx="95"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 (64)</a:t>
                </a:r>
              </a:p>
            </xdr:txBody>
          </xdr:sp>
          <xdr:sp macro="" textlink="">
            <xdr:nvSpPr>
              <xdr:cNvPr id="3271" name="Check_Win7B" hidden="1">
                <a:extLst>
                  <a:ext uri="{63B3BB69-23CF-44E3-9099-C40C66FF867C}">
                    <a14:compatExt spid="_x0000_s3271"/>
                  </a:ext>
                </a:extLst>
              </xdr:cNvPr>
              <xdr:cNvSpPr/>
            </xdr:nvSpPr>
            <xdr:spPr>
              <a:xfrm>
                <a:off x="714322" y="2295525"/>
                <a:ext cx="106"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Pro (32)</a:t>
                </a:r>
              </a:p>
            </xdr:txBody>
          </xdr:sp>
          <xdr:sp macro="" textlink="">
            <xdr:nvSpPr>
              <xdr:cNvPr id="3272" name="Check_Win7HP" hidden="1">
                <a:extLst>
                  <a:ext uri="{63B3BB69-23CF-44E3-9099-C40C66FF867C}">
                    <a14:compatExt spid="_x0000_s3272"/>
                  </a:ext>
                </a:extLst>
              </xdr:cNvPr>
              <xdr:cNvSpPr/>
            </xdr:nvSpPr>
            <xdr:spPr>
              <a:xfrm>
                <a:off x="1943028" y="2295525"/>
                <a:ext cx="144"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Premium (32)</a:t>
                </a:r>
              </a:p>
            </xdr:txBody>
          </xdr:sp>
          <xdr:sp macro="" textlink="">
            <xdr:nvSpPr>
              <xdr:cNvPr id="3273" name="Check_Win7U" hidden="1">
                <a:extLst>
                  <a:ext uri="{63B3BB69-23CF-44E3-9099-C40C66FF867C}">
                    <a14:compatExt spid="_x0000_s3273"/>
                  </a:ext>
                </a:extLst>
              </xdr:cNvPr>
              <xdr:cNvSpPr/>
            </xdr:nvSpPr>
            <xdr:spPr>
              <a:xfrm>
                <a:off x="3209865" y="2295525"/>
                <a:ext cx="12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Ultimate (32)</a:t>
                </a:r>
              </a:p>
            </xdr:txBody>
          </xdr:sp>
          <xdr:sp macro="" textlink="">
            <xdr:nvSpPr>
              <xdr:cNvPr id="3274" name="Check_Win7HB" hidden="1">
                <a:extLst>
                  <a:ext uri="{63B3BB69-23CF-44E3-9099-C40C66FF867C}">
                    <a14:compatExt spid="_x0000_s3274"/>
                  </a:ext>
                </a:extLst>
              </xdr:cNvPr>
              <xdr:cNvSpPr/>
            </xdr:nvSpPr>
            <xdr:spPr>
              <a:xfrm>
                <a:off x="4443346" y="2295525"/>
                <a:ext cx="13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Basic (32)</a:t>
                </a:r>
              </a:p>
            </xdr:txBody>
          </xdr:sp>
          <xdr:sp macro="" textlink="">
            <xdr:nvSpPr>
              <xdr:cNvPr id="3275" name="Check_Win7E" hidden="1">
                <a:extLst>
                  <a:ext uri="{63B3BB69-23CF-44E3-9099-C40C66FF867C}">
                    <a14:compatExt spid="_x0000_s3275"/>
                  </a:ext>
                </a:extLst>
              </xdr:cNvPr>
              <xdr:cNvSpPr/>
            </xdr:nvSpPr>
            <xdr:spPr>
              <a:xfrm>
                <a:off x="5786371" y="2295525"/>
                <a:ext cx="13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Enterprise (32)</a:t>
                </a:r>
              </a:p>
            </xdr:txBody>
          </xdr:sp>
          <xdr:sp macro="" textlink="">
            <xdr:nvSpPr>
              <xdr:cNvPr id="3276" name="Check_Win7B64" hidden="1">
                <a:extLst>
                  <a:ext uri="{63B3BB69-23CF-44E3-9099-C40C66FF867C}">
                    <a14:compatExt spid="_x0000_s3276"/>
                  </a:ext>
                </a:extLst>
              </xdr:cNvPr>
              <xdr:cNvSpPr/>
            </xdr:nvSpPr>
            <xdr:spPr>
              <a:xfrm>
                <a:off x="747656" y="2295525"/>
                <a:ext cx="11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Pro (64)</a:t>
                </a:r>
              </a:p>
            </xdr:txBody>
          </xdr:sp>
          <xdr:sp macro="" textlink="">
            <xdr:nvSpPr>
              <xdr:cNvPr id="3277" name="Check_Win7HP64" hidden="1">
                <a:extLst>
                  <a:ext uri="{63B3BB69-23CF-44E3-9099-C40C66FF867C}">
                    <a14:compatExt spid="_x0000_s3277"/>
                  </a:ext>
                </a:extLst>
              </xdr:cNvPr>
              <xdr:cNvSpPr/>
            </xdr:nvSpPr>
            <xdr:spPr>
              <a:xfrm>
                <a:off x="1923980" y="2295525"/>
                <a:ext cx="14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Premium (64)</a:t>
                </a:r>
              </a:p>
            </xdr:txBody>
          </xdr:sp>
          <xdr:sp macro="" textlink="">
            <xdr:nvSpPr>
              <xdr:cNvPr id="3278" name="Check_Win7U64" hidden="1">
                <a:extLst>
                  <a:ext uri="{63B3BB69-23CF-44E3-9099-C40C66FF867C}">
                    <a14:compatExt spid="_x0000_s3278"/>
                  </a:ext>
                </a:extLst>
              </xdr:cNvPr>
              <xdr:cNvSpPr/>
            </xdr:nvSpPr>
            <xdr:spPr>
              <a:xfrm>
                <a:off x="3176531" y="2295525"/>
                <a:ext cx="11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Ultimate (64)</a:t>
                </a:r>
              </a:p>
            </xdr:txBody>
          </xdr:sp>
          <xdr:sp macro="" textlink="">
            <xdr:nvSpPr>
              <xdr:cNvPr id="3279" name="Check_Win7HB64" hidden="1">
                <a:extLst>
                  <a:ext uri="{63B3BB69-23CF-44E3-9099-C40C66FF867C}">
                    <a14:compatExt spid="_x0000_s3279"/>
                  </a:ext>
                </a:extLst>
              </xdr:cNvPr>
              <xdr:cNvSpPr/>
            </xdr:nvSpPr>
            <xdr:spPr>
              <a:xfrm>
                <a:off x="4443346" y="2295525"/>
                <a:ext cx="13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Basic (64)</a:t>
                </a:r>
              </a:p>
            </xdr:txBody>
          </xdr:sp>
          <xdr:sp macro="" textlink="">
            <xdr:nvSpPr>
              <xdr:cNvPr id="3280" name="Check_Win7E64" hidden="1">
                <a:extLst>
                  <a:ext uri="{63B3BB69-23CF-44E3-9099-C40C66FF867C}">
                    <a14:compatExt spid="_x0000_s3280"/>
                  </a:ext>
                </a:extLst>
              </xdr:cNvPr>
              <xdr:cNvSpPr/>
            </xdr:nvSpPr>
            <xdr:spPr>
              <a:xfrm>
                <a:off x="5786371" y="2295525"/>
                <a:ext cx="13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Enterprise (64)</a:t>
                </a:r>
              </a:p>
            </xdr:txBody>
          </xdr:sp>
          <xdr:sp macro="" textlink="">
            <xdr:nvSpPr>
              <xdr:cNvPr id="3301" name="Check_Win7S" hidden="1">
                <a:extLst>
                  <a:ext uri="{63B3BB69-23CF-44E3-9099-C40C66FF867C}">
                    <a14:compatExt spid="_x0000_s3301"/>
                  </a:ext>
                </a:extLst>
              </xdr:cNvPr>
              <xdr:cNvSpPr/>
            </xdr:nvSpPr>
            <xdr:spPr>
              <a:xfrm>
                <a:off x="747656" y="2295525"/>
                <a:ext cx="11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Starter (32)</a:t>
                </a:r>
              </a:p>
            </xdr:txBody>
          </xdr:sp>
          <xdr:sp macro="" textlink="">
            <xdr:nvSpPr>
              <xdr:cNvPr id="3303" name="Check_EFI32" hidden="1">
                <a:extLst>
                  <a:ext uri="{63B3BB69-23CF-44E3-9099-C40C66FF867C}">
                    <a14:compatExt spid="_x0000_s3303"/>
                  </a:ext>
                </a:extLst>
              </xdr:cNvPr>
              <xdr:cNvSpPr/>
            </xdr:nvSpPr>
            <xdr:spPr>
              <a:xfrm>
                <a:off x="1800168" y="2295525"/>
                <a:ext cx="114"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EFI Shell (32)</a:t>
                </a:r>
              </a:p>
            </xdr:txBody>
          </xdr:sp>
          <xdr:sp macro="" textlink="">
            <xdr:nvSpPr>
              <xdr:cNvPr id="3304" name="Check_EFI64" hidden="1">
                <a:extLst>
                  <a:ext uri="{63B3BB69-23CF-44E3-9099-C40C66FF867C}">
                    <a14:compatExt spid="_x0000_s3304"/>
                  </a:ext>
                </a:extLst>
              </xdr:cNvPr>
              <xdr:cNvSpPr/>
            </xdr:nvSpPr>
            <xdr:spPr>
              <a:xfrm>
                <a:off x="277" y="0"/>
                <a:ext cx="113"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EFI Shell (64)</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xdr:row>
          <xdr:rowOff>57150</xdr:rowOff>
        </xdr:from>
        <xdr:to>
          <xdr:col>2</xdr:col>
          <xdr:colOff>904875</xdr:colOff>
          <xdr:row>2</xdr:row>
          <xdr:rowOff>85725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zh-TW" altLang="en-US" sz="1000" b="0" i="0" u="none" strike="noStrike" baseline="0">
                  <a:solidFill>
                    <a:srgbClr val="000000"/>
                  </a:solidFill>
                  <a:latin typeface="Arial"/>
                  <a:cs typeface="Arial"/>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84" Type="http://schemas.openxmlformats.org/officeDocument/2006/relationships/ctrlProp" Target="../ctrlProps/ctrlProp80.xml"/><Relationship Id="rId89" Type="http://schemas.openxmlformats.org/officeDocument/2006/relationships/ctrlProp" Target="../ctrlProps/ctrlProp85.xml"/><Relationship Id="rId7" Type="http://schemas.openxmlformats.org/officeDocument/2006/relationships/ctrlProp" Target="../ctrlProps/ctrlProp3.xml"/><Relationship Id="rId71" Type="http://schemas.openxmlformats.org/officeDocument/2006/relationships/ctrlProp" Target="../ctrlProps/ctrlProp67.xml"/><Relationship Id="rId92" Type="http://schemas.openxmlformats.org/officeDocument/2006/relationships/ctrlProp" Target="../ctrlProps/ctrlProp88.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74" Type="http://schemas.openxmlformats.org/officeDocument/2006/relationships/ctrlProp" Target="../ctrlProps/ctrlProp70.xml"/><Relationship Id="rId79" Type="http://schemas.openxmlformats.org/officeDocument/2006/relationships/ctrlProp" Target="../ctrlProps/ctrlProp75.xml"/><Relationship Id="rId87" Type="http://schemas.openxmlformats.org/officeDocument/2006/relationships/ctrlProp" Target="../ctrlProps/ctrlProp83.xml"/><Relationship Id="rId102" Type="http://schemas.openxmlformats.org/officeDocument/2006/relationships/ctrlProp" Target="../ctrlProps/ctrlProp98.xml"/><Relationship Id="rId5" Type="http://schemas.openxmlformats.org/officeDocument/2006/relationships/ctrlProp" Target="../ctrlProps/ctrlProp1.xml"/><Relationship Id="rId61" Type="http://schemas.openxmlformats.org/officeDocument/2006/relationships/ctrlProp" Target="../ctrlProps/ctrlProp57.xml"/><Relationship Id="rId82" Type="http://schemas.openxmlformats.org/officeDocument/2006/relationships/ctrlProp" Target="../ctrlProps/ctrlProp78.xml"/><Relationship Id="rId90" Type="http://schemas.openxmlformats.org/officeDocument/2006/relationships/ctrlProp" Target="../ctrlProps/ctrlProp86.xml"/><Relationship Id="rId95" Type="http://schemas.openxmlformats.org/officeDocument/2006/relationships/ctrlProp" Target="../ctrlProps/ctrlProp91.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77" Type="http://schemas.openxmlformats.org/officeDocument/2006/relationships/ctrlProp" Target="../ctrlProps/ctrlProp73.xml"/><Relationship Id="rId100" Type="http://schemas.openxmlformats.org/officeDocument/2006/relationships/ctrlProp" Target="../ctrlProps/ctrlProp96.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80" Type="http://schemas.openxmlformats.org/officeDocument/2006/relationships/ctrlProp" Target="../ctrlProps/ctrlProp76.xml"/><Relationship Id="rId85" Type="http://schemas.openxmlformats.org/officeDocument/2006/relationships/ctrlProp" Target="../ctrlProps/ctrlProp81.xml"/><Relationship Id="rId93" Type="http://schemas.openxmlformats.org/officeDocument/2006/relationships/ctrlProp" Target="../ctrlProps/ctrlProp89.xml"/><Relationship Id="rId98" Type="http://schemas.openxmlformats.org/officeDocument/2006/relationships/ctrlProp" Target="../ctrlProps/ctrlProp94.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103" Type="http://schemas.openxmlformats.org/officeDocument/2006/relationships/ctrlProp" Target="../ctrlProps/ctrlProp99.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75" Type="http://schemas.openxmlformats.org/officeDocument/2006/relationships/ctrlProp" Target="../ctrlProps/ctrlProp71.xml"/><Relationship Id="rId83" Type="http://schemas.openxmlformats.org/officeDocument/2006/relationships/ctrlProp" Target="../ctrlProps/ctrlProp79.xml"/><Relationship Id="rId88" Type="http://schemas.openxmlformats.org/officeDocument/2006/relationships/ctrlProp" Target="../ctrlProps/ctrlProp84.xml"/><Relationship Id="rId91" Type="http://schemas.openxmlformats.org/officeDocument/2006/relationships/ctrlProp" Target="../ctrlProps/ctrlProp87.xml"/><Relationship Id="rId96" Type="http://schemas.openxmlformats.org/officeDocument/2006/relationships/ctrlProp" Target="../ctrlProps/ctrlProp9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78" Type="http://schemas.openxmlformats.org/officeDocument/2006/relationships/ctrlProp" Target="../ctrlProps/ctrlProp74.xml"/><Relationship Id="rId81" Type="http://schemas.openxmlformats.org/officeDocument/2006/relationships/ctrlProp" Target="../ctrlProps/ctrlProp77.xml"/><Relationship Id="rId86" Type="http://schemas.openxmlformats.org/officeDocument/2006/relationships/ctrlProp" Target="../ctrlProps/ctrlProp82.xml"/><Relationship Id="rId94" Type="http://schemas.openxmlformats.org/officeDocument/2006/relationships/ctrlProp" Target="../ctrlProps/ctrlProp90.xml"/><Relationship Id="rId99" Type="http://schemas.openxmlformats.org/officeDocument/2006/relationships/ctrlProp" Target="../ctrlProps/ctrlProp95.xml"/><Relationship Id="rId101" Type="http://schemas.openxmlformats.org/officeDocument/2006/relationships/ctrlProp" Target="../ctrlProps/ctrlProp97.xml"/><Relationship Id="rId4" Type="http://schemas.openxmlformats.org/officeDocument/2006/relationships/vmlDrawing" Target="../drawings/vmlDrawing1.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6" Type="http://schemas.openxmlformats.org/officeDocument/2006/relationships/ctrlProp" Target="../ctrlProps/ctrlProp72.xml"/><Relationship Id="rId97" Type="http://schemas.openxmlformats.org/officeDocument/2006/relationships/ctrlProp" Target="../ctrlProps/ctrlProp9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youtube.com/" TargetMode="External"/><Relationship Id="rId7" Type="http://schemas.openxmlformats.org/officeDocument/2006/relationships/vmlDrawing" Target="../drawings/vmlDrawing2.vml"/><Relationship Id="rId2" Type="http://schemas.openxmlformats.org/officeDocument/2006/relationships/hyperlink" Target="http://www.apple.com/Itunes" TargetMode="External"/><Relationship Id="rId1" Type="http://schemas.openxmlformats.org/officeDocument/2006/relationships/printerSettings" Target="../printerSettings/printerSettings3.bin"/><Relationship Id="rId6" Type="http://schemas.openxmlformats.org/officeDocument/2006/relationships/printerSettings" Target="../printerSettings/printerSettings4.bin"/><Relationship Id="rId5" Type="http://schemas.openxmlformats.org/officeDocument/2006/relationships/hyperlink" Target="http://www.shockwave.com/" TargetMode="External"/><Relationship Id="rId4" Type="http://schemas.openxmlformats.org/officeDocument/2006/relationships/hyperlink" Target="http://www.rhapsody.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100.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6" Type="http://schemas.openxmlformats.org/officeDocument/2006/relationships/hyperlink" Target="BIOS%20Test%20Plan.doc" TargetMode="External"/><Relationship Id="rId21"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112" Type="http://schemas.openxmlformats.org/officeDocument/2006/relationships/hyperlink" Target="BIOS%20Test%20Plan.doc" TargetMode="External"/><Relationship Id="rId16" Type="http://schemas.openxmlformats.org/officeDocument/2006/relationships/hyperlink" Target="BIOS%20Test%20Plan.doc" TargetMode="External"/><Relationship Id="rId107"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102" Type="http://schemas.openxmlformats.org/officeDocument/2006/relationships/hyperlink" Target="BIOS%20Test%20Plan.doc" TargetMode="External"/><Relationship Id="rId110" Type="http://schemas.openxmlformats.org/officeDocument/2006/relationships/hyperlink" Target="BIOS%20Test%20Plan.doc" TargetMode="External"/><Relationship Id="rId115" Type="http://schemas.openxmlformats.org/officeDocument/2006/relationships/vmlDrawing" Target="../drawings/vmlDrawing4.vm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95"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100" Type="http://schemas.openxmlformats.org/officeDocument/2006/relationships/hyperlink" Target="BIOS%20Test%20Plan.doc" TargetMode="External"/><Relationship Id="rId105" Type="http://schemas.openxmlformats.org/officeDocument/2006/relationships/hyperlink" Target="BIOS%20Test%20Plan.doc" TargetMode="External"/><Relationship Id="rId113" Type="http://schemas.openxmlformats.org/officeDocument/2006/relationships/hyperlink" Target="BIOS%20Test%20Plan.doc" TargetMode="Externa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98"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103" Type="http://schemas.openxmlformats.org/officeDocument/2006/relationships/hyperlink" Target="BIOS%20Test%20Plan.doc" TargetMode="External"/><Relationship Id="rId108" Type="http://schemas.openxmlformats.org/officeDocument/2006/relationships/hyperlink" Target="BIOS%20Test%20Plan.doc" TargetMode="External"/><Relationship Id="rId116" Type="http://schemas.openxmlformats.org/officeDocument/2006/relationships/comments" Target="../comments2.xml"/><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96" Type="http://schemas.openxmlformats.org/officeDocument/2006/relationships/hyperlink" Target="BIOS%20Test%20Plan.doc" TargetMode="External"/><Relationship Id="rId111"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6" Type="http://schemas.openxmlformats.org/officeDocument/2006/relationships/hyperlink" Target="BIOS%20Test%20Plan.doc" TargetMode="External"/><Relationship Id="rId114" Type="http://schemas.openxmlformats.org/officeDocument/2006/relationships/printerSettings" Target="../printerSettings/printerSettings8.bin"/><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hyperlink" Target="BIOS%20Test%20Plan.doc" TargetMode="External"/><Relationship Id="rId99" Type="http://schemas.openxmlformats.org/officeDocument/2006/relationships/hyperlink" Target="BIOS%20Test%20Plan.doc" TargetMode="External"/><Relationship Id="rId101"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9" Type="http://schemas.openxmlformats.org/officeDocument/2006/relationships/hyperlink" Target="BIOS%20Test%20Plan.doc" TargetMode="External"/><Relationship Id="rId109" Type="http://schemas.openxmlformats.org/officeDocument/2006/relationships/hyperlink" Target="BIOS%20Test%20Plan.doc" TargetMode="External"/><Relationship Id="rId34"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76" Type="http://schemas.openxmlformats.org/officeDocument/2006/relationships/hyperlink" Target="BIOS%20Test%20Plan.doc" TargetMode="External"/><Relationship Id="rId97" Type="http://schemas.openxmlformats.org/officeDocument/2006/relationships/hyperlink" Target="BIOS%20Test%20Plan.doc" TargetMode="External"/><Relationship Id="rId104"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29" Type="http://schemas.openxmlformats.org/officeDocument/2006/relationships/hyperlink" Target="BIOS%20Test%20Plan.doc"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26" Type="http://schemas.openxmlformats.org/officeDocument/2006/relationships/hyperlink" Target="BIOS%20Test%20Plan.doc" TargetMode="External"/><Relationship Id="rId39" Type="http://schemas.openxmlformats.org/officeDocument/2006/relationships/hyperlink" Target="BIOS%20Test%20Plan.doc" TargetMode="External"/><Relationship Id="rId21" Type="http://schemas.openxmlformats.org/officeDocument/2006/relationships/hyperlink" Target="BIOS%20Test%20Plan.doc" TargetMode="External"/><Relationship Id="rId34"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76"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9"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95" Type="http://schemas.openxmlformats.org/officeDocument/2006/relationships/vmlDrawing" Target="../drawings/vmlDrawing5.vm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96" Type="http://schemas.openxmlformats.org/officeDocument/2006/relationships/comments" Target="../comments3.xm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printerSettings" Target="../printerSettings/printerSettings9.bin"/><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 Type="http://schemas.openxmlformats.org/officeDocument/2006/relationships/hyperlink" Target="BIOS%20TEST%20PLAN.doc" TargetMode="External"/><Relationship Id="rId21" Type="http://schemas.openxmlformats.org/officeDocument/2006/relationships/hyperlink" Target="BIOS%20Test%20Plan.doc" TargetMode="External"/><Relationship Id="rId7"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0"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1" Type="http://schemas.openxmlformats.org/officeDocument/2006/relationships/hyperlink" Target="BIOS%20TEST%20PLAN.doc" TargetMode="External"/><Relationship Id="rId5" Type="http://schemas.openxmlformats.org/officeDocument/2006/relationships/hyperlink" Target="BIOS%20TEST%20PLAN.doc" TargetMode="External"/><Relationship Id="rId15" Type="http://schemas.openxmlformats.org/officeDocument/2006/relationships/hyperlink" Target="BIOS%20Test%20Plan.doc" TargetMode="External"/><Relationship Id="rId10" Type="http://schemas.openxmlformats.org/officeDocument/2006/relationships/hyperlink" Target="BIOS%20TEST%20PLAN.doc" TargetMode="External"/><Relationship Id="rId19"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printerSettings" Target="../printerSettings/printerSettings10.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26" Type="http://schemas.openxmlformats.org/officeDocument/2006/relationships/hyperlink" Target="BIOS%20Test%20Plan.doc" TargetMode="External"/><Relationship Id="rId21"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9"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102" Type="http://schemas.openxmlformats.org/officeDocument/2006/relationships/hyperlink" Target="BIOS%20Test%20Plan.doc" TargetMode="Externa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95"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100" Type="http://schemas.openxmlformats.org/officeDocument/2006/relationships/hyperlink" Target="BIOS%20Test%20Plan.doc" TargetMode="External"/><Relationship Id="rId105" Type="http://schemas.openxmlformats.org/officeDocument/2006/relationships/comments" Target="../comments4.xm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98"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103" Type="http://schemas.openxmlformats.org/officeDocument/2006/relationships/printerSettings" Target="../printerSettings/printerSettings12.bin"/><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96"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hyperlink" Target="BIOS%20Test%20Plan.doc" TargetMode="External"/><Relationship Id="rId99" Type="http://schemas.openxmlformats.org/officeDocument/2006/relationships/hyperlink" Target="BIOS%20Test%20Plan.doc" TargetMode="External"/><Relationship Id="rId101"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9" Type="http://schemas.openxmlformats.org/officeDocument/2006/relationships/hyperlink" Target="BIOS%20Test%20Plan.doc" TargetMode="External"/><Relationship Id="rId34"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76" Type="http://schemas.openxmlformats.org/officeDocument/2006/relationships/hyperlink" Target="BIOS%20Test%20Plan.doc" TargetMode="External"/><Relationship Id="rId97" Type="http://schemas.openxmlformats.org/officeDocument/2006/relationships/hyperlink" Target="BIOS%20Test%20Plan.doc" TargetMode="External"/><Relationship Id="rId10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8" Type="http://schemas.openxmlformats.org/officeDocument/2006/relationships/hyperlink" Target="BIOS%20Test%20Plan.doc" TargetMode="External"/><Relationship Id="rId3" Type="http://schemas.openxmlformats.org/officeDocument/2006/relationships/hyperlink" Target="BIOS%20Test%20Plan.doc" TargetMode="External"/><Relationship Id="rId7" Type="http://schemas.openxmlformats.org/officeDocument/2006/relationships/hyperlink" Target="BIOS%20Test%20Plan.doc" TargetMode="External"/><Relationship Id="rId2"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5" Type="http://schemas.openxmlformats.org/officeDocument/2006/relationships/hyperlink" Target="BIOS%20Test%20Plan.doc" TargetMode="External"/><Relationship Id="rId10" Type="http://schemas.openxmlformats.org/officeDocument/2006/relationships/printerSettings" Target="../printerSettings/printerSettings13.bin"/><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ctSettings">
    <pageSetUpPr autoPageBreaks="0"/>
  </sheetPr>
  <dimension ref="A1:L98"/>
  <sheetViews>
    <sheetView showGridLines="0" showRowColHeaders="0" showOutlineSymbols="0" topLeftCell="B1" workbookViewId="0">
      <selection activeCell="R22" sqref="R22"/>
    </sheetView>
  </sheetViews>
  <sheetFormatPr defaultRowHeight="12"/>
  <cols>
    <col min="1" max="1" width="9.140625" style="2" hidden="1" customWidth="1"/>
    <col min="2" max="2" width="2.7109375" style="2" customWidth="1"/>
    <col min="3" max="4" width="9.140625" style="2"/>
    <col min="5" max="5" width="15.7109375" style="2" customWidth="1"/>
    <col min="6" max="16384" width="9.140625" style="2"/>
  </cols>
  <sheetData>
    <row r="1" spans="3:12">
      <c r="C1" s="301"/>
      <c r="D1" s="302"/>
      <c r="E1" s="302"/>
      <c r="F1" s="302"/>
      <c r="G1" s="302"/>
      <c r="H1" s="302"/>
      <c r="I1" s="302"/>
      <c r="J1" s="302"/>
      <c r="K1" s="302"/>
      <c r="L1" s="303"/>
    </row>
    <row r="2" spans="3:12">
      <c r="C2" s="308" t="s">
        <v>120</v>
      </c>
      <c r="D2" s="309"/>
      <c r="E2" s="304" t="s">
        <v>121</v>
      </c>
      <c r="F2" s="304"/>
      <c r="G2" s="304"/>
      <c r="H2" s="304"/>
      <c r="I2" s="304"/>
      <c r="J2" s="304"/>
      <c r="K2" s="304"/>
      <c r="L2" s="19"/>
    </row>
    <row r="3" spans="3:12">
      <c r="C3" s="308" t="s">
        <v>208</v>
      </c>
      <c r="D3" s="309"/>
      <c r="E3" s="304" t="s">
        <v>426</v>
      </c>
      <c r="F3" s="304"/>
      <c r="G3" s="304"/>
      <c r="H3" s="304"/>
      <c r="I3" s="304"/>
      <c r="J3" s="304"/>
      <c r="K3" s="304"/>
      <c r="L3" s="19"/>
    </row>
    <row r="4" spans="3:12">
      <c r="C4" s="308" t="s">
        <v>23</v>
      </c>
      <c r="D4" s="309"/>
      <c r="E4" s="305" t="s">
        <v>31</v>
      </c>
      <c r="F4" s="305"/>
      <c r="G4" s="305"/>
      <c r="H4" s="20"/>
      <c r="I4" s="20"/>
      <c r="J4" s="20"/>
      <c r="K4" s="20"/>
      <c r="L4" s="17"/>
    </row>
    <row r="5" spans="3:12">
      <c r="C5" s="308" t="s">
        <v>44</v>
      </c>
      <c r="D5" s="309"/>
      <c r="E5" s="305" t="s">
        <v>1421</v>
      </c>
      <c r="F5" s="305"/>
      <c r="G5" s="305"/>
      <c r="H5" s="20"/>
      <c r="I5" s="20"/>
      <c r="J5" s="20"/>
      <c r="K5" s="20"/>
      <c r="L5" s="17"/>
    </row>
    <row r="6" spans="3:12">
      <c r="C6" s="308" t="s">
        <v>45</v>
      </c>
      <c r="D6" s="309"/>
      <c r="E6" s="305" t="s">
        <v>185</v>
      </c>
      <c r="F6" s="305"/>
      <c r="G6" s="305"/>
      <c r="H6" s="20"/>
      <c r="I6" s="20"/>
      <c r="J6" s="20"/>
      <c r="K6" s="20"/>
      <c r="L6" s="17"/>
    </row>
    <row r="7" spans="3:12">
      <c r="C7" s="308" t="s">
        <v>99</v>
      </c>
      <c r="D7" s="309"/>
      <c r="E7" s="275" t="s">
        <v>2776</v>
      </c>
      <c r="F7" s="18"/>
      <c r="G7" s="18"/>
      <c r="H7" s="20"/>
      <c r="I7" s="20"/>
      <c r="J7" s="20"/>
      <c r="K7" s="20"/>
      <c r="L7" s="17"/>
    </row>
    <row r="8" spans="3:12">
      <c r="C8" s="21"/>
      <c r="D8" s="20"/>
      <c r="E8" s="20"/>
      <c r="F8" s="20"/>
      <c r="G8" s="20"/>
      <c r="H8" s="20"/>
      <c r="I8" s="20"/>
      <c r="J8" s="20"/>
      <c r="K8" s="20"/>
      <c r="L8" s="17"/>
    </row>
    <row r="9" spans="3:12">
      <c r="C9" s="306" t="s">
        <v>38</v>
      </c>
      <c r="D9" s="307"/>
      <c r="E9" s="304" t="s">
        <v>426</v>
      </c>
      <c r="F9" s="304"/>
      <c r="G9" s="304"/>
      <c r="H9" s="304"/>
      <c r="I9" s="304"/>
      <c r="J9" s="304"/>
      <c r="K9" s="304"/>
      <c r="L9" s="17"/>
    </row>
    <row r="10" spans="3:12" ht="12.75">
      <c r="C10" s="306" t="s">
        <v>39</v>
      </c>
      <c r="D10" s="310"/>
      <c r="E10" s="304" t="s">
        <v>426</v>
      </c>
      <c r="F10" s="304"/>
      <c r="G10" s="304"/>
      <c r="H10" s="304"/>
      <c r="I10" s="304"/>
      <c r="J10" s="304"/>
      <c r="K10" s="304"/>
      <c r="L10" s="17"/>
    </row>
    <row r="11" spans="3:12">
      <c r="C11" s="21"/>
      <c r="D11" s="20"/>
      <c r="E11" s="20"/>
      <c r="F11" s="20"/>
      <c r="G11" s="20"/>
      <c r="H11" s="20"/>
      <c r="I11" s="20"/>
      <c r="J11" s="20"/>
      <c r="K11" s="20"/>
      <c r="L11" s="17"/>
    </row>
    <row r="12" spans="3:12">
      <c r="C12" s="306"/>
      <c r="D12" s="307"/>
      <c r="E12" s="20"/>
      <c r="F12" s="20"/>
      <c r="G12" s="20"/>
      <c r="H12" s="20"/>
      <c r="I12" s="20"/>
      <c r="J12" s="20"/>
      <c r="K12" s="20"/>
      <c r="L12" s="17"/>
    </row>
    <row r="13" spans="3:12">
      <c r="C13" s="21"/>
      <c r="D13" s="20"/>
      <c r="E13" s="20"/>
      <c r="F13" s="20"/>
      <c r="G13" s="20"/>
      <c r="H13" s="20"/>
      <c r="I13" s="20"/>
      <c r="J13" s="20"/>
      <c r="K13" s="20"/>
      <c r="L13" s="17"/>
    </row>
    <row r="14" spans="3:12">
      <c r="C14" s="21"/>
      <c r="D14" s="20"/>
      <c r="E14" s="20"/>
      <c r="F14" s="20"/>
      <c r="G14" s="20"/>
      <c r="H14" s="20"/>
      <c r="I14" s="20"/>
      <c r="J14" s="20"/>
      <c r="K14" s="20"/>
      <c r="L14" s="17"/>
    </row>
    <row r="15" spans="3:12">
      <c r="C15" s="22"/>
      <c r="D15" s="23"/>
      <c r="E15" s="23"/>
      <c r="F15" s="23"/>
      <c r="G15" s="23"/>
      <c r="H15" s="23"/>
      <c r="I15" s="23"/>
      <c r="J15" s="23"/>
      <c r="K15" s="23"/>
      <c r="L15" s="24"/>
    </row>
    <row r="16" spans="3:12" hidden="1"/>
    <row r="17" spans="3:12" hidden="1">
      <c r="C17" s="301"/>
      <c r="D17" s="302"/>
      <c r="E17" s="302"/>
      <c r="F17" s="302"/>
      <c r="G17" s="302"/>
      <c r="H17" s="302"/>
      <c r="I17" s="302"/>
      <c r="J17" s="302"/>
      <c r="K17" s="302"/>
      <c r="L17" s="303"/>
    </row>
    <row r="18" spans="3:12" hidden="1">
      <c r="C18" s="21"/>
      <c r="D18" s="20"/>
      <c r="E18" s="20"/>
      <c r="F18" s="20"/>
      <c r="G18" s="20"/>
      <c r="H18" s="20"/>
      <c r="I18" s="20"/>
      <c r="J18" s="20"/>
      <c r="K18" s="20"/>
      <c r="L18" s="17"/>
    </row>
    <row r="19" spans="3:12" hidden="1">
      <c r="C19" s="21"/>
      <c r="D19" s="20"/>
      <c r="E19" s="20"/>
      <c r="F19" s="20"/>
      <c r="G19" s="20"/>
      <c r="H19" s="20"/>
      <c r="I19" s="20"/>
      <c r="J19" s="20"/>
      <c r="K19" s="20"/>
      <c r="L19" s="17"/>
    </row>
    <row r="20" spans="3:12" hidden="1">
      <c r="C20" s="21"/>
      <c r="D20" s="20"/>
      <c r="E20" s="20"/>
      <c r="F20" s="20"/>
      <c r="G20" s="20"/>
      <c r="H20" s="20"/>
      <c r="I20" s="20"/>
      <c r="J20" s="20"/>
      <c r="K20" s="20"/>
      <c r="L20" s="17"/>
    </row>
    <row r="21" spans="3:12" hidden="1">
      <c r="C21" s="21"/>
      <c r="D21" s="20"/>
      <c r="E21" s="20"/>
      <c r="F21" s="20"/>
      <c r="G21" s="20"/>
      <c r="H21" s="20"/>
      <c r="I21" s="20"/>
      <c r="J21" s="20"/>
      <c r="K21" s="20"/>
      <c r="L21" s="17"/>
    </row>
    <row r="22" spans="3:12" hidden="1">
      <c r="C22" s="21"/>
      <c r="D22" s="20"/>
      <c r="E22" s="20"/>
      <c r="F22" s="20"/>
      <c r="G22" s="20"/>
      <c r="H22" s="20"/>
      <c r="I22" s="20"/>
      <c r="J22" s="20"/>
      <c r="K22" s="20"/>
      <c r="L22" s="17"/>
    </row>
    <row r="23" spans="3:12" hidden="1">
      <c r="C23" s="21"/>
      <c r="D23" s="20"/>
      <c r="E23" s="20"/>
      <c r="F23" s="20"/>
      <c r="G23" s="20"/>
      <c r="H23" s="20"/>
      <c r="I23" s="20"/>
      <c r="J23" s="20"/>
      <c r="K23" s="20"/>
      <c r="L23" s="17"/>
    </row>
    <row r="24" spans="3:12" hidden="1">
      <c r="C24" s="21"/>
      <c r="D24" s="20"/>
      <c r="E24" s="20"/>
      <c r="F24" s="20"/>
      <c r="G24" s="20"/>
      <c r="H24" s="20"/>
      <c r="I24" s="20"/>
      <c r="J24" s="20"/>
      <c r="K24" s="20"/>
      <c r="L24" s="17"/>
    </row>
    <row r="25" spans="3:12" hidden="1">
      <c r="C25" s="21"/>
      <c r="D25" s="20"/>
      <c r="E25" s="20"/>
      <c r="F25" s="20"/>
      <c r="G25" s="20"/>
      <c r="H25" s="20"/>
      <c r="I25" s="20"/>
      <c r="J25" s="20"/>
      <c r="K25" s="20"/>
      <c r="L25" s="17"/>
    </row>
    <row r="26" spans="3:12" hidden="1">
      <c r="C26" s="21"/>
      <c r="D26" s="20"/>
      <c r="E26" s="20"/>
      <c r="F26" s="20"/>
      <c r="G26" s="20"/>
      <c r="H26" s="20"/>
      <c r="I26" s="20"/>
      <c r="J26" s="20"/>
      <c r="K26" s="20"/>
      <c r="L26" s="17"/>
    </row>
    <row r="27" spans="3:12" hidden="1">
      <c r="C27" s="21"/>
      <c r="D27" s="20"/>
      <c r="E27" s="20"/>
      <c r="F27" s="20"/>
      <c r="G27" s="20"/>
      <c r="H27" s="20"/>
      <c r="I27" s="20"/>
      <c r="J27" s="20"/>
      <c r="K27" s="20"/>
      <c r="L27" s="17"/>
    </row>
    <row r="28" spans="3:12" hidden="1">
      <c r="C28" s="21"/>
      <c r="D28" s="20"/>
      <c r="E28" s="20"/>
      <c r="F28" s="20"/>
      <c r="G28" s="20"/>
      <c r="H28" s="20"/>
      <c r="I28" s="20"/>
      <c r="J28" s="20"/>
      <c r="K28" s="20"/>
      <c r="L28" s="17"/>
    </row>
    <row r="29" spans="3:12" hidden="1">
      <c r="C29" s="21"/>
      <c r="D29" s="20"/>
      <c r="E29" s="20"/>
      <c r="F29" s="20"/>
      <c r="G29" s="20"/>
      <c r="H29" s="20"/>
      <c r="I29" s="20"/>
      <c r="J29" s="20"/>
      <c r="K29" s="20"/>
      <c r="L29" s="17"/>
    </row>
    <row r="30" spans="3:12" hidden="1">
      <c r="C30" s="22"/>
      <c r="D30" s="23"/>
      <c r="E30" s="23"/>
      <c r="F30" s="23"/>
      <c r="G30" s="23"/>
      <c r="H30" s="23"/>
      <c r="I30" s="23"/>
      <c r="J30" s="23"/>
      <c r="K30" s="23"/>
      <c r="L30" s="24"/>
    </row>
    <row r="31" spans="3:12" hidden="1"/>
    <row r="32" spans="3:12" hidden="1">
      <c r="C32" s="301"/>
      <c r="D32" s="302"/>
      <c r="E32" s="302"/>
      <c r="F32" s="302"/>
      <c r="G32" s="302"/>
      <c r="H32" s="302"/>
      <c r="I32" s="302"/>
      <c r="J32" s="302"/>
      <c r="K32" s="302"/>
      <c r="L32" s="303"/>
    </row>
    <row r="33" spans="3:12" hidden="1">
      <c r="C33" s="21"/>
      <c r="D33" s="20"/>
      <c r="E33" s="20"/>
      <c r="F33" s="20"/>
      <c r="G33" s="20"/>
      <c r="H33" s="20"/>
      <c r="I33" s="20"/>
      <c r="J33" s="20"/>
      <c r="K33" s="20"/>
      <c r="L33" s="17"/>
    </row>
    <row r="34" spans="3:12" hidden="1">
      <c r="C34" s="21"/>
      <c r="D34" s="20"/>
      <c r="E34" s="20"/>
      <c r="F34" s="20"/>
      <c r="G34" s="20"/>
      <c r="H34" s="20"/>
      <c r="I34" s="20"/>
      <c r="J34" s="20"/>
      <c r="K34" s="20"/>
      <c r="L34" s="17"/>
    </row>
    <row r="35" spans="3:12" hidden="1">
      <c r="C35" s="21"/>
      <c r="D35" s="20"/>
      <c r="E35" s="20"/>
      <c r="F35" s="20"/>
      <c r="G35" s="20"/>
      <c r="H35" s="20"/>
      <c r="I35" s="20"/>
      <c r="J35" s="20"/>
      <c r="K35" s="20"/>
      <c r="L35" s="17"/>
    </row>
    <row r="36" spans="3:12" hidden="1">
      <c r="C36" s="21"/>
      <c r="D36" s="20"/>
      <c r="E36" s="20"/>
      <c r="F36" s="20"/>
      <c r="G36" s="20"/>
      <c r="H36" s="20"/>
      <c r="I36" s="20"/>
      <c r="J36" s="20"/>
      <c r="K36" s="20"/>
      <c r="L36" s="17"/>
    </row>
    <row r="37" spans="3:12" hidden="1">
      <c r="C37" s="21"/>
      <c r="D37" s="20"/>
      <c r="E37" s="20"/>
      <c r="F37" s="20"/>
      <c r="G37" s="20"/>
      <c r="H37" s="20"/>
      <c r="I37" s="20"/>
      <c r="J37" s="20"/>
      <c r="K37" s="20"/>
      <c r="L37" s="17"/>
    </row>
    <row r="38" spans="3:12" hidden="1">
      <c r="C38" s="21"/>
      <c r="D38" s="20"/>
      <c r="E38" s="20"/>
      <c r="F38" s="20"/>
      <c r="G38" s="20"/>
      <c r="H38" s="20"/>
      <c r="I38" s="20"/>
      <c r="J38" s="20"/>
      <c r="K38" s="20"/>
      <c r="L38" s="17"/>
    </row>
    <row r="39" spans="3:12" hidden="1">
      <c r="C39" s="21"/>
      <c r="D39" s="20"/>
      <c r="E39" s="20"/>
      <c r="F39" s="20"/>
      <c r="G39" s="20"/>
      <c r="H39" s="20"/>
      <c r="I39" s="20"/>
      <c r="J39" s="20"/>
      <c r="K39" s="20"/>
      <c r="L39" s="17"/>
    </row>
    <row r="40" spans="3:12" hidden="1">
      <c r="C40" s="21"/>
      <c r="D40" s="20"/>
      <c r="E40" s="20"/>
      <c r="F40" s="20"/>
      <c r="G40" s="20"/>
      <c r="H40" s="20"/>
      <c r="I40" s="20"/>
      <c r="J40" s="20"/>
      <c r="K40" s="20"/>
      <c r="L40" s="17"/>
    </row>
    <row r="41" spans="3:12" hidden="1">
      <c r="C41" s="21"/>
      <c r="D41" s="20"/>
      <c r="E41" s="20"/>
      <c r="F41" s="20"/>
      <c r="G41" s="20"/>
      <c r="H41" s="20"/>
      <c r="I41" s="20"/>
      <c r="J41" s="20"/>
      <c r="K41" s="20"/>
      <c r="L41" s="17"/>
    </row>
    <row r="42" spans="3:12" hidden="1">
      <c r="C42" s="21"/>
      <c r="D42" s="20"/>
      <c r="E42" s="20"/>
      <c r="F42" s="20"/>
      <c r="G42" s="20"/>
      <c r="H42" s="20"/>
      <c r="I42" s="20"/>
      <c r="J42" s="20"/>
      <c r="K42" s="20"/>
      <c r="L42" s="17"/>
    </row>
    <row r="43" spans="3:12" hidden="1">
      <c r="C43" s="22"/>
      <c r="D43" s="23"/>
      <c r="E43" s="23"/>
      <c r="F43" s="23"/>
      <c r="G43" s="23"/>
      <c r="H43" s="23"/>
      <c r="I43" s="23"/>
      <c r="J43" s="23"/>
      <c r="K43" s="23"/>
      <c r="L43" s="24"/>
    </row>
    <row r="44" spans="3:12" hidden="1"/>
    <row r="45" spans="3:12" hidden="1">
      <c r="C45" s="301"/>
      <c r="D45" s="302"/>
      <c r="E45" s="302"/>
      <c r="F45" s="302"/>
      <c r="G45" s="302"/>
      <c r="H45" s="302"/>
      <c r="I45" s="302"/>
      <c r="J45" s="302"/>
      <c r="K45" s="302"/>
      <c r="L45" s="303"/>
    </row>
    <row r="46" spans="3:12" hidden="1">
      <c r="C46" s="21"/>
      <c r="D46" s="20"/>
      <c r="E46" s="20"/>
      <c r="F46" s="20"/>
      <c r="G46" s="20"/>
      <c r="H46" s="20"/>
      <c r="I46" s="20"/>
      <c r="J46" s="20"/>
      <c r="K46" s="20"/>
      <c r="L46" s="17"/>
    </row>
    <row r="47" spans="3:12" hidden="1">
      <c r="C47" s="21"/>
      <c r="D47" s="20"/>
      <c r="E47" s="20"/>
      <c r="F47" s="20"/>
      <c r="G47" s="20"/>
      <c r="H47" s="20"/>
      <c r="I47" s="20"/>
      <c r="J47" s="20"/>
      <c r="K47" s="20"/>
      <c r="L47" s="17"/>
    </row>
    <row r="48" spans="3:12" hidden="1">
      <c r="C48" s="308" t="s">
        <v>118</v>
      </c>
      <c r="D48" s="309"/>
      <c r="E48" s="305" t="s">
        <v>109</v>
      </c>
      <c r="F48" s="305"/>
      <c r="G48" s="305"/>
      <c r="H48" s="20"/>
      <c r="I48" s="20"/>
      <c r="J48" s="20"/>
      <c r="K48" s="20"/>
      <c r="L48" s="17"/>
    </row>
    <row r="49" spans="3:12" hidden="1">
      <c r="C49" s="308" t="s">
        <v>22</v>
      </c>
      <c r="D49" s="309"/>
      <c r="E49" s="305" t="s">
        <v>457</v>
      </c>
      <c r="F49" s="305"/>
      <c r="G49" s="305"/>
      <c r="H49" s="20"/>
      <c r="I49" s="20"/>
      <c r="J49" s="20"/>
      <c r="K49" s="20"/>
      <c r="L49" s="17"/>
    </row>
    <row r="50" spans="3:12" hidden="1">
      <c r="C50" s="308" t="s">
        <v>119</v>
      </c>
      <c r="D50" s="309"/>
      <c r="E50" s="305" t="s">
        <v>112</v>
      </c>
      <c r="F50" s="305"/>
      <c r="G50" s="305"/>
      <c r="H50" s="20"/>
      <c r="I50" s="20"/>
      <c r="J50" s="20"/>
      <c r="K50" s="20"/>
      <c r="L50" s="17"/>
    </row>
    <row r="51" spans="3:12" hidden="1">
      <c r="C51" s="308" t="s">
        <v>122</v>
      </c>
      <c r="D51" s="309"/>
      <c r="E51" s="305">
        <v>1</v>
      </c>
      <c r="F51" s="305"/>
      <c r="G51" s="305"/>
      <c r="H51" s="20"/>
      <c r="I51" s="20"/>
      <c r="J51" s="20"/>
      <c r="K51" s="20"/>
      <c r="L51" s="17"/>
    </row>
    <row r="52" spans="3:12" hidden="1">
      <c r="C52" s="21"/>
      <c r="D52" s="20"/>
      <c r="E52" s="20"/>
      <c r="F52" s="20"/>
      <c r="G52" s="20"/>
      <c r="H52" s="20"/>
      <c r="I52" s="20"/>
      <c r="J52" s="20"/>
      <c r="K52" s="20"/>
      <c r="L52" s="17"/>
    </row>
    <row r="53" spans="3:12" hidden="1">
      <c r="C53" s="21"/>
      <c r="D53" s="20"/>
      <c r="E53" s="20"/>
      <c r="F53" s="20"/>
      <c r="G53" s="20"/>
      <c r="H53" s="20"/>
      <c r="I53" s="20"/>
      <c r="J53" s="20"/>
      <c r="K53" s="20"/>
      <c r="L53" s="17"/>
    </row>
    <row r="54" spans="3:12" hidden="1">
      <c r="C54" s="21"/>
      <c r="D54" s="20"/>
      <c r="E54" s="20"/>
      <c r="F54" s="20"/>
      <c r="G54" s="20"/>
      <c r="H54" s="20"/>
      <c r="I54" s="20"/>
      <c r="J54" s="20"/>
      <c r="K54" s="20"/>
      <c r="L54" s="17"/>
    </row>
    <row r="55" spans="3:12" hidden="1">
      <c r="C55" s="21"/>
      <c r="D55" s="20"/>
      <c r="E55" s="20"/>
      <c r="F55" s="20"/>
      <c r="G55" s="20"/>
      <c r="H55" s="20"/>
      <c r="I55" s="20"/>
      <c r="J55" s="20"/>
      <c r="K55" s="20"/>
      <c r="L55" s="17"/>
    </row>
    <row r="56" spans="3:12" hidden="1">
      <c r="C56" s="21"/>
      <c r="D56" s="20"/>
      <c r="E56" s="20"/>
      <c r="F56" s="20"/>
      <c r="G56" s="20"/>
      <c r="H56" s="20"/>
      <c r="I56" s="20"/>
      <c r="J56" s="20"/>
      <c r="K56" s="20"/>
      <c r="L56" s="17"/>
    </row>
    <row r="57" spans="3:12" hidden="1">
      <c r="C57" s="21"/>
      <c r="D57" s="20"/>
      <c r="E57" s="20"/>
      <c r="F57" s="20"/>
      <c r="G57" s="20"/>
      <c r="H57" s="20"/>
      <c r="I57" s="20"/>
      <c r="J57" s="20"/>
      <c r="K57" s="20"/>
      <c r="L57" s="17"/>
    </row>
    <row r="58" spans="3:12" hidden="1">
      <c r="C58" s="21"/>
      <c r="D58" s="20"/>
      <c r="E58" s="20"/>
      <c r="F58" s="20"/>
      <c r="G58" s="20"/>
      <c r="H58" s="20"/>
      <c r="I58" s="20"/>
      <c r="J58" s="20"/>
      <c r="K58" s="20"/>
      <c r="L58" s="17"/>
    </row>
    <row r="59" spans="3:12" hidden="1">
      <c r="C59" s="21"/>
      <c r="D59" s="20"/>
      <c r="E59" s="20"/>
      <c r="F59" s="20"/>
      <c r="G59" s="20"/>
      <c r="H59" s="20"/>
      <c r="I59" s="20"/>
      <c r="J59" s="20"/>
      <c r="K59" s="20"/>
      <c r="L59" s="17"/>
    </row>
    <row r="60" spans="3:12" hidden="1">
      <c r="C60" s="21"/>
      <c r="D60" s="20"/>
      <c r="E60" s="20"/>
      <c r="F60" s="20"/>
      <c r="G60" s="20"/>
      <c r="H60" s="20"/>
      <c r="I60" s="20"/>
      <c r="J60" s="20"/>
      <c r="K60" s="20"/>
      <c r="L60" s="17"/>
    </row>
    <row r="61" spans="3:12" hidden="1">
      <c r="C61" s="22"/>
      <c r="D61" s="23"/>
      <c r="E61" s="23"/>
      <c r="F61" s="23"/>
      <c r="G61" s="23"/>
      <c r="H61" s="23"/>
      <c r="I61" s="23"/>
      <c r="J61" s="23"/>
      <c r="K61" s="23"/>
      <c r="L61" s="24"/>
    </row>
    <row r="62" spans="3:12" hidden="1">
      <c r="C62" s="20"/>
      <c r="D62" s="20"/>
      <c r="E62" s="20"/>
      <c r="F62" s="20"/>
      <c r="G62" s="20"/>
      <c r="H62" s="20"/>
      <c r="I62" s="20"/>
      <c r="J62" s="20"/>
      <c r="K62" s="20"/>
      <c r="L62" s="20"/>
    </row>
    <row r="63" spans="3:12" hidden="1">
      <c r="C63" s="20"/>
      <c r="D63" s="20"/>
      <c r="E63" s="20"/>
      <c r="F63" s="20"/>
      <c r="G63" s="20"/>
      <c r="H63" s="20"/>
      <c r="I63" s="20"/>
      <c r="J63" s="20"/>
      <c r="K63" s="20"/>
      <c r="L63" s="20"/>
    </row>
    <row r="64" spans="3:12" hidden="1">
      <c r="C64" s="20"/>
      <c r="D64" s="20"/>
      <c r="E64" s="20"/>
      <c r="F64" s="20"/>
      <c r="G64" s="20"/>
      <c r="H64" s="20"/>
      <c r="I64" s="20"/>
      <c r="J64" s="20"/>
      <c r="K64" s="20"/>
      <c r="L64" s="20"/>
    </row>
    <row r="65" spans="3:12" hidden="1">
      <c r="C65" s="20"/>
      <c r="D65" s="20"/>
      <c r="E65" s="20"/>
      <c r="F65" s="20"/>
      <c r="G65" s="20"/>
      <c r="H65" s="20"/>
      <c r="I65" s="20"/>
      <c r="J65" s="20"/>
      <c r="K65" s="20"/>
      <c r="L65" s="20"/>
    </row>
    <row r="66" spans="3:12" hidden="1">
      <c r="C66" s="20"/>
      <c r="D66" s="20"/>
      <c r="E66" s="20"/>
      <c r="F66" s="20"/>
      <c r="G66" s="20"/>
      <c r="H66" s="20"/>
      <c r="I66" s="20"/>
      <c r="J66" s="20"/>
      <c r="K66" s="20"/>
      <c r="L66" s="20"/>
    </row>
    <row r="67" spans="3:12" hidden="1">
      <c r="C67" s="20"/>
      <c r="D67" s="20"/>
      <c r="E67" s="20"/>
      <c r="F67" s="20"/>
      <c r="G67" s="20"/>
      <c r="H67" s="20"/>
      <c r="I67" s="20"/>
      <c r="J67" s="20"/>
      <c r="K67" s="20"/>
      <c r="L67" s="20"/>
    </row>
    <row r="68" spans="3:12" hidden="1">
      <c r="C68" s="20"/>
      <c r="D68" s="20"/>
      <c r="E68" s="20"/>
      <c r="F68" s="20"/>
      <c r="G68" s="20"/>
      <c r="H68" s="20"/>
      <c r="I68" s="20"/>
      <c r="J68" s="20"/>
      <c r="K68" s="20"/>
      <c r="L68" s="20"/>
    </row>
    <row r="69" spans="3:12" hidden="1">
      <c r="C69" s="20"/>
      <c r="D69" s="20"/>
      <c r="E69" s="20"/>
      <c r="F69" s="20"/>
      <c r="G69" s="20"/>
      <c r="H69" s="20"/>
      <c r="I69" s="20"/>
      <c r="J69" s="20"/>
      <c r="K69" s="20"/>
      <c r="L69" s="20"/>
    </row>
    <row r="70" spans="3:12" hidden="1">
      <c r="C70" s="20"/>
      <c r="D70" s="20"/>
      <c r="E70" s="20"/>
      <c r="F70" s="20"/>
      <c r="G70" s="20"/>
      <c r="H70" s="20"/>
      <c r="I70" s="20"/>
      <c r="J70" s="20"/>
      <c r="K70" s="20"/>
      <c r="L70" s="20"/>
    </row>
    <row r="71" spans="3:12" hidden="1">
      <c r="C71" s="20"/>
      <c r="D71" s="20"/>
      <c r="E71" s="20"/>
      <c r="F71" s="20"/>
      <c r="G71" s="20"/>
      <c r="H71" s="20"/>
      <c r="I71" s="20"/>
      <c r="J71" s="20"/>
      <c r="K71" s="20"/>
      <c r="L71" s="20"/>
    </row>
    <row r="72" spans="3:12" hidden="1">
      <c r="C72" s="20"/>
      <c r="D72" s="20"/>
      <c r="E72" s="20"/>
      <c r="F72" s="20"/>
      <c r="G72" s="20"/>
      <c r="H72" s="20"/>
      <c r="I72" s="20"/>
      <c r="J72" s="20"/>
      <c r="K72" s="20"/>
      <c r="L72" s="20"/>
    </row>
    <row r="73" spans="3:12" hidden="1">
      <c r="C73" s="20"/>
      <c r="D73" s="20"/>
      <c r="E73" s="20"/>
      <c r="F73" s="20"/>
      <c r="G73" s="20"/>
      <c r="H73" s="20"/>
      <c r="I73" s="20"/>
      <c r="J73" s="20"/>
      <c r="K73" s="20"/>
      <c r="L73" s="20"/>
    </row>
    <row r="74" spans="3:12" hidden="1">
      <c r="C74" s="20"/>
      <c r="D74" s="20"/>
      <c r="E74" s="20"/>
      <c r="F74" s="20"/>
      <c r="G74" s="20"/>
      <c r="H74" s="20"/>
      <c r="I74" s="20"/>
      <c r="J74" s="20"/>
      <c r="K74" s="20"/>
      <c r="L74" s="20"/>
    </row>
    <row r="75" spans="3:12" hidden="1">
      <c r="C75" s="20"/>
      <c r="D75" s="20"/>
      <c r="E75" s="20"/>
      <c r="F75" s="20"/>
      <c r="G75" s="20"/>
      <c r="H75" s="20"/>
      <c r="I75" s="20"/>
      <c r="J75" s="20"/>
      <c r="K75" s="20"/>
      <c r="L75" s="20"/>
    </row>
    <row r="76" spans="3:12" hidden="1">
      <c r="C76" s="20"/>
      <c r="D76" s="20"/>
      <c r="E76" s="20"/>
      <c r="F76" s="20"/>
      <c r="G76" s="20"/>
      <c r="H76" s="20"/>
      <c r="I76" s="20"/>
      <c r="J76" s="20"/>
      <c r="K76" s="20"/>
      <c r="L76" s="20"/>
    </row>
    <row r="77" spans="3:12" hidden="1">
      <c r="C77" s="20"/>
      <c r="D77" s="20"/>
      <c r="E77" s="20"/>
      <c r="F77" s="20"/>
      <c r="G77" s="20"/>
      <c r="H77" s="20"/>
      <c r="I77" s="20"/>
      <c r="J77" s="20"/>
      <c r="K77" s="20"/>
      <c r="L77" s="20"/>
    </row>
    <row r="78" spans="3:12" hidden="1">
      <c r="C78" s="20"/>
      <c r="D78" s="20"/>
      <c r="E78" s="20"/>
      <c r="F78" s="20"/>
      <c r="G78" s="20"/>
      <c r="H78" s="20"/>
      <c r="I78" s="20"/>
      <c r="J78" s="20"/>
      <c r="K78" s="20"/>
      <c r="L78" s="20"/>
    </row>
    <row r="83" hidden="1"/>
    <row r="84" hidden="1"/>
    <row r="85" hidden="1"/>
    <row r="86" hidden="1"/>
    <row r="87" hidden="1"/>
    <row r="88" hidden="1"/>
    <row r="89" hidden="1"/>
    <row r="90" hidden="1"/>
    <row r="91" hidden="1"/>
    <row r="92" hidden="1"/>
    <row r="93" hidden="1"/>
    <row r="94" hidden="1"/>
    <row r="95" hidden="1"/>
    <row r="96" hidden="1"/>
    <row r="97" hidden="1"/>
    <row r="98" hidden="1"/>
  </sheetData>
  <sheetProtection password="CF6D" sheet="1" objects="1" scenarios="1"/>
  <customSheetViews>
    <customSheetView guid="{4ECC98B7-8F7E-48B2-BF78-0C8168954CF5}" showGridLines="0" showRowCol="0" outlineSymbols="0" hiddenRows="1" hiddenColumns="1" showRuler="0" topLeftCell="B1">
      <selection activeCell="B1" sqref="B1"/>
      <pageMargins left="0.75" right="0.75" top="1" bottom="1" header="0.5" footer="0.5"/>
      <pageSetup orientation="portrait" horizontalDpi="300" verticalDpi="300" r:id="rId1"/>
      <headerFooter alignWithMargins="0"/>
    </customSheetView>
  </customSheetViews>
  <mergeCells count="28">
    <mergeCell ref="C51:D51"/>
    <mergeCell ref="E51:G51"/>
    <mergeCell ref="C48:D48"/>
    <mergeCell ref="C50:D50"/>
    <mergeCell ref="E48:G48"/>
    <mergeCell ref="E50:G50"/>
    <mergeCell ref="C49:D49"/>
    <mergeCell ref="E49:G49"/>
    <mergeCell ref="E10:K10"/>
    <mergeCell ref="C45:L45"/>
    <mergeCell ref="C5:D5"/>
    <mergeCell ref="C6:D6"/>
    <mergeCell ref="C17:L17"/>
    <mergeCell ref="C32:L32"/>
    <mergeCell ref="C12:D12"/>
    <mergeCell ref="C10:D10"/>
    <mergeCell ref="E5:G5"/>
    <mergeCell ref="E6:G6"/>
    <mergeCell ref="C1:L1"/>
    <mergeCell ref="E3:K3"/>
    <mergeCell ref="E4:G4"/>
    <mergeCell ref="C9:D9"/>
    <mergeCell ref="E9:K9"/>
    <mergeCell ref="C3:D3"/>
    <mergeCell ref="C4:D4"/>
    <mergeCell ref="C7:D7"/>
    <mergeCell ref="C2:D2"/>
    <mergeCell ref="E2:K2"/>
  </mergeCells>
  <phoneticPr fontId="2" type="noConversion"/>
  <conditionalFormatting sqref="E3:K3 E9:K10">
    <cfRule type="cellIs" dxfId="1" priority="1" stopIfTrue="1" operator="equal">
      <formula>"ENTER NAME HERE"</formula>
    </cfRule>
  </conditionalFormatting>
  <conditionalFormatting sqref="E49:G49">
    <cfRule type="cellIs" dxfId="0" priority="2" stopIfTrue="1" operator="equal">
      <formula>"SELECT PLATFORM IN TEST"</formula>
    </cfRule>
  </conditionalFormatting>
  <dataValidations count="9">
    <dataValidation type="textLength" showErrorMessage="1" errorTitle="Project Name" error="Project name must have a at lease 3 characters and cannot be greater than 50." sqref="E2:K3 E9:K10">
      <formula1>3</formula1>
      <formula2>50</formula2>
    </dataValidation>
    <dataValidation type="list" showInputMessage="1" showErrorMessage="1" errorTitle="Project Phase" error="Please select one of the choices from the dropdown list." sqref="E4:G4">
      <formula1>Project_Phase_Selection</formula1>
    </dataValidation>
    <dataValidation showInputMessage="1" showErrorMessage="1" errorTitle="Project Phase" error="Please select one of the choices from the dropdown list." sqref="F7:G7"/>
    <dataValidation type="list" allowBlank="1" showInputMessage="1" showErrorMessage="1" sqref="E50:G50">
      <formula1>Testplan_Type_Selection</formula1>
    </dataValidation>
    <dataValidation type="list" allowBlank="1" showInputMessage="1" showErrorMessage="1" sqref="E5:G5">
      <formula1>CFG_Environment</formula1>
    </dataValidation>
    <dataValidation type="list" allowBlank="1" showInputMessage="1" showErrorMessage="1" sqref="E6:G6">
      <formula1>CFG_Language</formula1>
    </dataValidation>
    <dataValidation type="whole" showInputMessage="1" showErrorMessage="1" sqref="E51:G51">
      <formula1>1</formula1>
      <formula2>65535</formula2>
    </dataValidation>
    <dataValidation type="list" showInputMessage="1" showErrorMessage="1" sqref="E49:G49">
      <formula1>CFG_Platform</formula1>
    </dataValidation>
    <dataValidation type="list" allowBlank="1" showInputMessage="1" showErrorMessage="1" promptTitle="Do NOT Change!" prompt="Do not change this value! This template is designed to be used on a single platform.  If a test plan is needed to test a deliverable across multiple platforms, use the Deliverable Template instead of the Platform Template." sqref="E48:G48">
      <formula1>"Platform"</formula1>
    </dataValidation>
  </dataValidation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93" r:id="rId5" name="Check_UnitedStates">
              <controlPr defaultSize="0" autoFill="0" autoLine="0" autoPict="0" altText="">
                <anchor moveWithCells="1" sizeWithCells="1">
                  <from>
                    <xdr:col>2</xdr:col>
                    <xdr:colOff>28575</xdr:colOff>
                    <xdr:row>33</xdr:row>
                    <xdr:rowOff>95250</xdr:rowOff>
                  </from>
                  <to>
                    <xdr:col>3</xdr:col>
                    <xdr:colOff>295275</xdr:colOff>
                    <xdr:row>34</xdr:row>
                    <xdr:rowOff>152400</xdr:rowOff>
                  </to>
                </anchor>
              </controlPr>
            </control>
          </mc:Choice>
        </mc:AlternateContent>
        <mc:AlternateContent xmlns:mc="http://schemas.openxmlformats.org/markup-compatibility/2006">
          <mc:Choice Requires="x14">
            <control shapeId="3094" r:id="rId6" name="Check_CzechRepublic">
              <controlPr defaultSize="0" autoFill="0" autoLine="0" autoPict="0" altText="">
                <anchor moveWithCells="1" sizeWithCells="1">
                  <from>
                    <xdr:col>5</xdr:col>
                    <xdr:colOff>495300</xdr:colOff>
                    <xdr:row>33</xdr:row>
                    <xdr:rowOff>95250</xdr:rowOff>
                  </from>
                  <to>
                    <xdr:col>7</xdr:col>
                    <xdr:colOff>219075</xdr:colOff>
                    <xdr:row>34</xdr:row>
                    <xdr:rowOff>152400</xdr:rowOff>
                  </to>
                </anchor>
              </controlPr>
            </control>
          </mc:Choice>
        </mc:AlternateContent>
        <mc:AlternateContent xmlns:mc="http://schemas.openxmlformats.org/markup-compatibility/2006">
          <mc:Choice Requires="x14">
            <control shapeId="3095" r:id="rId7" name="Check_Taiwan">
              <controlPr defaultSize="0" autoFill="0" autoLine="0" autoPict="0" altText="">
                <anchor moveWithCells="1" sizeWithCells="1">
                  <from>
                    <xdr:col>7</xdr:col>
                    <xdr:colOff>495300</xdr:colOff>
                    <xdr:row>33</xdr:row>
                    <xdr:rowOff>95250</xdr:rowOff>
                  </from>
                  <to>
                    <xdr:col>9</xdr:col>
                    <xdr:colOff>342900</xdr:colOff>
                    <xdr:row>35</xdr:row>
                    <xdr:rowOff>19050</xdr:rowOff>
                  </to>
                </anchor>
              </controlPr>
            </control>
          </mc:Choice>
        </mc:AlternateContent>
        <mc:AlternateContent xmlns:mc="http://schemas.openxmlformats.org/markup-compatibility/2006">
          <mc:Choice Requires="x14">
            <control shapeId="3096" r:id="rId8" name="Check_Norway">
              <controlPr defaultSize="0" autoFill="0" autoLine="0" autoPict="0" altText="">
                <anchor moveWithCells="1" sizeWithCells="1">
                  <from>
                    <xdr:col>4</xdr:col>
                    <xdr:colOff>104775</xdr:colOff>
                    <xdr:row>33</xdr:row>
                    <xdr:rowOff>95250</xdr:rowOff>
                  </from>
                  <to>
                    <xdr:col>5</xdr:col>
                    <xdr:colOff>123825</xdr:colOff>
                    <xdr:row>34</xdr:row>
                    <xdr:rowOff>152400</xdr:rowOff>
                  </to>
                </anchor>
              </controlPr>
            </control>
          </mc:Choice>
        </mc:AlternateContent>
        <mc:AlternateContent xmlns:mc="http://schemas.openxmlformats.org/markup-compatibility/2006">
          <mc:Choice Requires="x14">
            <control shapeId="3098" r:id="rId9" name="Check_Finland">
              <controlPr defaultSize="0" autoFill="0" autoLine="0" autoPict="0" altText="">
                <anchor moveWithCells="1" sizeWithCells="1">
                  <from>
                    <xdr:col>4</xdr:col>
                    <xdr:colOff>104775</xdr:colOff>
                    <xdr:row>40</xdr:row>
                    <xdr:rowOff>142875</xdr:rowOff>
                  </from>
                  <to>
                    <xdr:col>5</xdr:col>
                    <xdr:colOff>66675</xdr:colOff>
                    <xdr:row>42</xdr:row>
                    <xdr:rowOff>38100</xdr:rowOff>
                  </to>
                </anchor>
              </controlPr>
            </control>
          </mc:Choice>
        </mc:AlternateContent>
        <mc:AlternateContent xmlns:mc="http://schemas.openxmlformats.org/markup-compatibility/2006">
          <mc:Choice Requires="x14">
            <control shapeId="3099" r:id="rId10" name="Check_Germany">
              <controlPr defaultSize="0" autoFill="0" autoLine="0" autoPict="0" altText="">
                <anchor moveWithCells="1" sizeWithCells="1">
                  <from>
                    <xdr:col>2</xdr:col>
                    <xdr:colOff>28575</xdr:colOff>
                    <xdr:row>34</xdr:row>
                    <xdr:rowOff>133350</xdr:rowOff>
                  </from>
                  <to>
                    <xdr:col>3</xdr:col>
                    <xdr:colOff>104775</xdr:colOff>
                    <xdr:row>36</xdr:row>
                    <xdr:rowOff>28575</xdr:rowOff>
                  </to>
                </anchor>
              </controlPr>
            </control>
          </mc:Choice>
        </mc:AlternateContent>
        <mc:AlternateContent xmlns:mc="http://schemas.openxmlformats.org/markup-compatibility/2006">
          <mc:Choice Requires="x14">
            <control shapeId="3100" r:id="rId11" name="Check_France">
              <controlPr defaultSize="0" autoFill="0" autoLine="0" autoPict="0" altText="">
                <anchor moveWithCells="1" sizeWithCells="1">
                  <from>
                    <xdr:col>2</xdr:col>
                    <xdr:colOff>28575</xdr:colOff>
                    <xdr:row>36</xdr:row>
                    <xdr:rowOff>9525</xdr:rowOff>
                  </from>
                  <to>
                    <xdr:col>2</xdr:col>
                    <xdr:colOff>590550</xdr:colOff>
                    <xdr:row>37</xdr:row>
                    <xdr:rowOff>66675</xdr:rowOff>
                  </to>
                </anchor>
              </controlPr>
            </control>
          </mc:Choice>
        </mc:AlternateContent>
        <mc:AlternateContent xmlns:mc="http://schemas.openxmlformats.org/markup-compatibility/2006">
          <mc:Choice Requires="x14">
            <control shapeId="3101" r:id="rId12" name="Check_Italy">
              <controlPr defaultSize="0" autoFill="0" autoLine="0" autoPict="0" altText="">
                <anchor moveWithCells="1" sizeWithCells="1">
                  <from>
                    <xdr:col>2</xdr:col>
                    <xdr:colOff>28575</xdr:colOff>
                    <xdr:row>37</xdr:row>
                    <xdr:rowOff>38100</xdr:rowOff>
                  </from>
                  <to>
                    <xdr:col>3</xdr:col>
                    <xdr:colOff>28575</xdr:colOff>
                    <xdr:row>38</xdr:row>
                    <xdr:rowOff>104775</xdr:rowOff>
                  </to>
                </anchor>
              </controlPr>
            </control>
          </mc:Choice>
        </mc:AlternateContent>
        <mc:AlternateContent xmlns:mc="http://schemas.openxmlformats.org/markup-compatibility/2006">
          <mc:Choice Requires="x14">
            <control shapeId="3102" r:id="rId13" name="Check_SpainLA">
              <controlPr defaultSize="0" autoFill="0" autoLine="0" autoPict="0" altText="">
                <anchor moveWithCells="1" sizeWithCells="1">
                  <from>
                    <xdr:col>2</xdr:col>
                    <xdr:colOff>28575</xdr:colOff>
                    <xdr:row>38</xdr:row>
                    <xdr:rowOff>76200</xdr:rowOff>
                  </from>
                  <to>
                    <xdr:col>3</xdr:col>
                    <xdr:colOff>285750</xdr:colOff>
                    <xdr:row>39</xdr:row>
                    <xdr:rowOff>142875</xdr:rowOff>
                  </to>
                </anchor>
              </controlPr>
            </control>
          </mc:Choice>
        </mc:AlternateContent>
        <mc:AlternateContent xmlns:mc="http://schemas.openxmlformats.org/markup-compatibility/2006">
          <mc:Choice Requires="x14">
            <control shapeId="3103" r:id="rId14" name="Check_Denmark">
              <controlPr defaultSize="0" autoFill="0" autoLine="0" autoPict="0" altText="">
                <anchor moveWithCells="1" sizeWithCells="1">
                  <from>
                    <xdr:col>2</xdr:col>
                    <xdr:colOff>28575</xdr:colOff>
                    <xdr:row>39</xdr:row>
                    <xdr:rowOff>114300</xdr:rowOff>
                  </from>
                  <to>
                    <xdr:col>3</xdr:col>
                    <xdr:colOff>57150</xdr:colOff>
                    <xdr:row>41</xdr:row>
                    <xdr:rowOff>9525</xdr:rowOff>
                  </to>
                </anchor>
              </controlPr>
            </control>
          </mc:Choice>
        </mc:AlternateContent>
        <mc:AlternateContent xmlns:mc="http://schemas.openxmlformats.org/markup-compatibility/2006">
          <mc:Choice Requires="x14">
            <control shapeId="3104" r:id="rId15" name="Check_Turkey">
              <controlPr defaultSize="0" autoFill="0" autoLine="0" autoPict="0" altText="">
                <anchor moveWithCells="1" sizeWithCells="1">
                  <from>
                    <xdr:col>4</xdr:col>
                    <xdr:colOff>104775</xdr:colOff>
                    <xdr:row>36</xdr:row>
                    <xdr:rowOff>9525</xdr:rowOff>
                  </from>
                  <to>
                    <xdr:col>5</xdr:col>
                    <xdr:colOff>38100</xdr:colOff>
                    <xdr:row>37</xdr:row>
                    <xdr:rowOff>66675</xdr:rowOff>
                  </to>
                </anchor>
              </controlPr>
            </control>
          </mc:Choice>
        </mc:AlternateContent>
        <mc:AlternateContent xmlns:mc="http://schemas.openxmlformats.org/markup-compatibility/2006">
          <mc:Choice Requires="x14">
            <control shapeId="3105" r:id="rId16" name="Check_Arabia">
              <controlPr defaultSize="0" autoFill="0" autoLine="0" autoPict="0" altText="">
                <anchor moveWithCells="1" sizeWithCells="1">
                  <from>
                    <xdr:col>4</xdr:col>
                    <xdr:colOff>104775</xdr:colOff>
                    <xdr:row>37</xdr:row>
                    <xdr:rowOff>38100</xdr:rowOff>
                  </from>
                  <to>
                    <xdr:col>5</xdr:col>
                    <xdr:colOff>38100</xdr:colOff>
                    <xdr:row>38</xdr:row>
                    <xdr:rowOff>95250</xdr:rowOff>
                  </to>
                </anchor>
              </controlPr>
            </control>
          </mc:Choice>
        </mc:AlternateContent>
        <mc:AlternateContent xmlns:mc="http://schemas.openxmlformats.org/markup-compatibility/2006">
          <mc:Choice Requires="x14">
            <control shapeId="3106" r:id="rId17" name="Check_Brazil">
              <controlPr defaultSize="0" autoFill="0" autoLine="0" autoPict="0" altText="">
                <anchor moveWithCells="1" sizeWithCells="1">
                  <from>
                    <xdr:col>4</xdr:col>
                    <xdr:colOff>104775</xdr:colOff>
                    <xdr:row>38</xdr:row>
                    <xdr:rowOff>76200</xdr:rowOff>
                  </from>
                  <to>
                    <xdr:col>4</xdr:col>
                    <xdr:colOff>600075</xdr:colOff>
                    <xdr:row>39</xdr:row>
                    <xdr:rowOff>133350</xdr:rowOff>
                  </to>
                </anchor>
              </controlPr>
            </control>
          </mc:Choice>
        </mc:AlternateContent>
        <mc:AlternateContent xmlns:mc="http://schemas.openxmlformats.org/markup-compatibility/2006">
          <mc:Choice Requires="x14">
            <control shapeId="3107" r:id="rId18" name="Check_Hungary">
              <controlPr defaultSize="0" autoFill="0" autoLine="0" autoPict="0" altText="">
                <anchor moveWithCells="1" sizeWithCells="1">
                  <from>
                    <xdr:col>4</xdr:col>
                    <xdr:colOff>104775</xdr:colOff>
                    <xdr:row>39</xdr:row>
                    <xdr:rowOff>104775</xdr:rowOff>
                  </from>
                  <to>
                    <xdr:col>5</xdr:col>
                    <xdr:colOff>133350</xdr:colOff>
                    <xdr:row>41</xdr:row>
                    <xdr:rowOff>0</xdr:rowOff>
                  </to>
                </anchor>
              </controlPr>
            </control>
          </mc:Choice>
        </mc:AlternateContent>
        <mc:AlternateContent xmlns:mc="http://schemas.openxmlformats.org/markup-compatibility/2006">
          <mc:Choice Requires="x14">
            <control shapeId="3108" r:id="rId19" name="Check_Poland">
              <controlPr defaultSize="0" autoFill="0" autoLine="0" autoPict="0" altText="">
                <anchor moveWithCells="1" sizeWithCells="1">
                  <from>
                    <xdr:col>5</xdr:col>
                    <xdr:colOff>495300</xdr:colOff>
                    <xdr:row>34</xdr:row>
                    <xdr:rowOff>133350</xdr:rowOff>
                  </from>
                  <to>
                    <xdr:col>6</xdr:col>
                    <xdr:colOff>447675</xdr:colOff>
                    <xdr:row>36</xdr:row>
                    <xdr:rowOff>28575</xdr:rowOff>
                  </to>
                </anchor>
              </controlPr>
            </control>
          </mc:Choice>
        </mc:AlternateContent>
        <mc:AlternateContent xmlns:mc="http://schemas.openxmlformats.org/markup-compatibility/2006">
          <mc:Choice Requires="x14">
            <control shapeId="3109" r:id="rId20" name="Check_Russia">
              <controlPr defaultSize="0" autoFill="0" autoLine="0" autoPict="0" altText="">
                <anchor moveWithCells="1" sizeWithCells="1">
                  <from>
                    <xdr:col>5</xdr:col>
                    <xdr:colOff>495300</xdr:colOff>
                    <xdr:row>36</xdr:row>
                    <xdr:rowOff>9525</xdr:rowOff>
                  </from>
                  <to>
                    <xdr:col>6</xdr:col>
                    <xdr:colOff>438150</xdr:colOff>
                    <xdr:row>37</xdr:row>
                    <xdr:rowOff>66675</xdr:rowOff>
                  </to>
                </anchor>
              </controlPr>
            </control>
          </mc:Choice>
        </mc:AlternateContent>
        <mc:AlternateContent xmlns:mc="http://schemas.openxmlformats.org/markup-compatibility/2006">
          <mc:Choice Requires="x14">
            <control shapeId="3110" r:id="rId21" name="Check_Japan">
              <controlPr defaultSize="0" autoFill="0" autoLine="0" autoPict="0" altText="">
                <anchor moveWithCells="1" sizeWithCells="1">
                  <from>
                    <xdr:col>5</xdr:col>
                    <xdr:colOff>495300</xdr:colOff>
                    <xdr:row>37</xdr:row>
                    <xdr:rowOff>38100</xdr:rowOff>
                  </from>
                  <to>
                    <xdr:col>6</xdr:col>
                    <xdr:colOff>581025</xdr:colOff>
                    <xdr:row>38</xdr:row>
                    <xdr:rowOff>114300</xdr:rowOff>
                  </to>
                </anchor>
              </controlPr>
            </control>
          </mc:Choice>
        </mc:AlternateContent>
        <mc:AlternateContent xmlns:mc="http://schemas.openxmlformats.org/markup-compatibility/2006">
          <mc:Choice Requires="x14">
            <control shapeId="3111" r:id="rId22" name="Check_Netherlands">
              <controlPr defaultSize="0" autoFill="0" autoLine="0" autoPict="0" altText="">
                <anchor moveWithCells="1" sizeWithCells="1">
                  <from>
                    <xdr:col>5</xdr:col>
                    <xdr:colOff>495300</xdr:colOff>
                    <xdr:row>38</xdr:row>
                    <xdr:rowOff>76200</xdr:rowOff>
                  </from>
                  <to>
                    <xdr:col>7</xdr:col>
                    <xdr:colOff>85725</xdr:colOff>
                    <xdr:row>39</xdr:row>
                    <xdr:rowOff>133350</xdr:rowOff>
                  </to>
                </anchor>
              </controlPr>
            </control>
          </mc:Choice>
        </mc:AlternateContent>
        <mc:AlternateContent xmlns:mc="http://schemas.openxmlformats.org/markup-compatibility/2006">
          <mc:Choice Requires="x14">
            <control shapeId="3112" r:id="rId23" name="Check_PRCChinese">
              <controlPr defaultSize="0" autoFill="0" autoLine="0" autoPict="0" altText="">
                <anchor moveWithCells="1" sizeWithCells="1">
                  <from>
                    <xdr:col>5</xdr:col>
                    <xdr:colOff>495300</xdr:colOff>
                    <xdr:row>39</xdr:row>
                    <xdr:rowOff>104775</xdr:rowOff>
                  </from>
                  <to>
                    <xdr:col>7</xdr:col>
                    <xdr:colOff>114300</xdr:colOff>
                    <xdr:row>41</xdr:row>
                    <xdr:rowOff>0</xdr:rowOff>
                  </to>
                </anchor>
              </controlPr>
            </control>
          </mc:Choice>
        </mc:AlternateContent>
        <mc:AlternateContent xmlns:mc="http://schemas.openxmlformats.org/markup-compatibility/2006">
          <mc:Choice Requires="x14">
            <control shapeId="3113" r:id="rId24" name="Check_HongKong">
              <controlPr defaultSize="0" autoFill="0" autoLine="0" autoPict="0" altText="">
                <anchor moveWithCells="1" sizeWithCells="1">
                  <from>
                    <xdr:col>7</xdr:col>
                    <xdr:colOff>495300</xdr:colOff>
                    <xdr:row>34</xdr:row>
                    <xdr:rowOff>114300</xdr:rowOff>
                  </from>
                  <to>
                    <xdr:col>9</xdr:col>
                    <xdr:colOff>600075</xdr:colOff>
                    <xdr:row>36</xdr:row>
                    <xdr:rowOff>47625</xdr:rowOff>
                  </to>
                </anchor>
              </controlPr>
            </control>
          </mc:Choice>
        </mc:AlternateContent>
        <mc:AlternateContent xmlns:mc="http://schemas.openxmlformats.org/markup-compatibility/2006">
          <mc:Choice Requires="x14">
            <control shapeId="3114" r:id="rId25" name="Check_Korea">
              <controlPr defaultSize="0" autoFill="0" autoLine="0" autoPict="0" altText="">
                <anchor moveWithCells="1" sizeWithCells="1">
                  <from>
                    <xdr:col>7</xdr:col>
                    <xdr:colOff>495300</xdr:colOff>
                    <xdr:row>36</xdr:row>
                    <xdr:rowOff>9525</xdr:rowOff>
                  </from>
                  <to>
                    <xdr:col>8</xdr:col>
                    <xdr:colOff>428625</xdr:colOff>
                    <xdr:row>37</xdr:row>
                    <xdr:rowOff>66675</xdr:rowOff>
                  </to>
                </anchor>
              </controlPr>
            </control>
          </mc:Choice>
        </mc:AlternateContent>
        <mc:AlternateContent xmlns:mc="http://schemas.openxmlformats.org/markup-compatibility/2006">
          <mc:Choice Requires="x14">
            <control shapeId="3115" r:id="rId26" name="Check_Sweden">
              <controlPr defaultSize="0" autoFill="0" autoLine="0" autoPict="0" altText="">
                <anchor moveWithCells="1" sizeWithCells="1">
                  <from>
                    <xdr:col>7</xdr:col>
                    <xdr:colOff>495300</xdr:colOff>
                    <xdr:row>37</xdr:row>
                    <xdr:rowOff>38100</xdr:rowOff>
                  </from>
                  <to>
                    <xdr:col>8</xdr:col>
                    <xdr:colOff>523875</xdr:colOff>
                    <xdr:row>38</xdr:row>
                    <xdr:rowOff>95250</xdr:rowOff>
                  </to>
                </anchor>
              </controlPr>
            </control>
          </mc:Choice>
        </mc:AlternateContent>
        <mc:AlternateContent xmlns:mc="http://schemas.openxmlformats.org/markup-compatibility/2006">
          <mc:Choice Requires="x14">
            <control shapeId="3116" r:id="rId27" name="Check_IsraelHebrew">
              <controlPr defaultSize="0" autoFill="0" autoLine="0" autoPict="0" altText="">
                <anchor moveWithCells="1" sizeWithCells="1">
                  <from>
                    <xdr:col>7</xdr:col>
                    <xdr:colOff>495300</xdr:colOff>
                    <xdr:row>38</xdr:row>
                    <xdr:rowOff>76200</xdr:rowOff>
                  </from>
                  <to>
                    <xdr:col>9</xdr:col>
                    <xdr:colOff>228600</xdr:colOff>
                    <xdr:row>39</xdr:row>
                    <xdr:rowOff>133350</xdr:rowOff>
                  </to>
                </anchor>
              </controlPr>
            </control>
          </mc:Choice>
        </mc:AlternateContent>
        <mc:AlternateContent xmlns:mc="http://schemas.openxmlformats.org/markup-compatibility/2006">
          <mc:Choice Requires="x14">
            <control shapeId="3117" r:id="rId28" name="Check_Spain">
              <controlPr defaultSize="0" autoFill="0" autoLine="0" autoPict="0" altText="">
                <anchor moveWithCells="1" sizeWithCells="1">
                  <from>
                    <xdr:col>7</xdr:col>
                    <xdr:colOff>495300</xdr:colOff>
                    <xdr:row>39</xdr:row>
                    <xdr:rowOff>104775</xdr:rowOff>
                  </from>
                  <to>
                    <xdr:col>9</xdr:col>
                    <xdr:colOff>47625</xdr:colOff>
                    <xdr:row>41</xdr:row>
                    <xdr:rowOff>0</xdr:rowOff>
                  </to>
                </anchor>
              </controlPr>
            </control>
          </mc:Choice>
        </mc:AlternateContent>
        <mc:AlternateContent xmlns:mc="http://schemas.openxmlformats.org/markup-compatibility/2006">
          <mc:Choice Requires="x14">
            <control shapeId="3118" r:id="rId29" name="Check_Greece">
              <controlPr defaultSize="0" autoFill="0" autoLine="0" autoPict="0" altText="">
                <anchor moveWithCells="1" sizeWithCells="1">
                  <from>
                    <xdr:col>2</xdr:col>
                    <xdr:colOff>28575</xdr:colOff>
                    <xdr:row>40</xdr:row>
                    <xdr:rowOff>142875</xdr:rowOff>
                  </from>
                  <to>
                    <xdr:col>2</xdr:col>
                    <xdr:colOff>600075</xdr:colOff>
                    <xdr:row>42</xdr:row>
                    <xdr:rowOff>38100</xdr:rowOff>
                  </to>
                </anchor>
              </controlPr>
            </control>
          </mc:Choice>
        </mc:AlternateContent>
        <mc:AlternateContent xmlns:mc="http://schemas.openxmlformats.org/markup-compatibility/2006">
          <mc:Choice Requires="x14">
            <control shapeId="3119" r:id="rId30" name="Check_Portugal">
              <controlPr defaultSize="0" autoFill="0" autoLine="0" autoPict="0" altText="">
                <anchor moveWithCells="1" sizeWithCells="1">
                  <from>
                    <xdr:col>4</xdr:col>
                    <xdr:colOff>104775</xdr:colOff>
                    <xdr:row>34</xdr:row>
                    <xdr:rowOff>133350</xdr:rowOff>
                  </from>
                  <to>
                    <xdr:col>5</xdr:col>
                    <xdr:colOff>123825</xdr:colOff>
                    <xdr:row>36</xdr:row>
                    <xdr:rowOff>28575</xdr:rowOff>
                  </to>
                </anchor>
              </controlPr>
            </control>
          </mc:Choice>
        </mc:AlternateContent>
        <mc:AlternateContent xmlns:mc="http://schemas.openxmlformats.org/markup-compatibility/2006">
          <mc:Choice Requires="x14">
            <control shapeId="3138" r:id="rId31" name="Option_Cycle_AllConfigurations">
              <controlPr defaultSize="0" autoFill="0" autoLine="0" autoPict="0" altText="">
                <anchor moveWithCells="1" sizeWithCells="1">
                  <from>
                    <xdr:col>2</xdr:col>
                    <xdr:colOff>295275</xdr:colOff>
                    <xdr:row>83</xdr:row>
                    <xdr:rowOff>76200</xdr:rowOff>
                  </from>
                  <to>
                    <xdr:col>4</xdr:col>
                    <xdr:colOff>409575</xdr:colOff>
                    <xdr:row>84</xdr:row>
                    <xdr:rowOff>142875</xdr:rowOff>
                  </to>
                </anchor>
              </controlPr>
            </control>
          </mc:Choice>
        </mc:AlternateContent>
        <mc:AlternateContent xmlns:mc="http://schemas.openxmlformats.org/markup-compatibility/2006">
          <mc:Choice Requires="x14">
            <control shapeId="3139" r:id="rId32" name="Option_Cycle_RecentConfiguration">
              <controlPr defaultSize="0" autoFill="0" autoLine="0" autoPict="0" altText="">
                <anchor moveWithCells="1" sizeWithCells="1">
                  <from>
                    <xdr:col>4</xdr:col>
                    <xdr:colOff>485775</xdr:colOff>
                    <xdr:row>83</xdr:row>
                    <xdr:rowOff>76200</xdr:rowOff>
                  </from>
                  <to>
                    <xdr:col>6</xdr:col>
                    <xdr:colOff>276225</xdr:colOff>
                    <xdr:row>84</xdr:row>
                    <xdr:rowOff>142875</xdr:rowOff>
                  </to>
                </anchor>
              </controlPr>
            </control>
          </mc:Choice>
        </mc:AlternateContent>
        <mc:AlternateContent xmlns:mc="http://schemas.openxmlformats.org/markup-compatibility/2006">
          <mc:Choice Requires="x14">
            <control shapeId="3143" r:id="rId33" name="Group_Cycle_Configurations">
              <controlPr defaultSize="0" autoFill="0" autoPict="0">
                <anchor moveWithCells="1" sizeWithCells="1">
                  <from>
                    <xdr:col>2</xdr:col>
                    <xdr:colOff>57150</xdr:colOff>
                    <xdr:row>82</xdr:row>
                    <xdr:rowOff>85725</xdr:rowOff>
                  </from>
                  <to>
                    <xdr:col>6</xdr:col>
                    <xdr:colOff>371475</xdr:colOff>
                    <xdr:row>85</xdr:row>
                    <xdr:rowOff>57150</xdr:rowOff>
                  </to>
                </anchor>
              </controlPr>
            </control>
          </mc:Choice>
        </mc:AlternateContent>
        <mc:AlternateContent xmlns:mc="http://schemas.openxmlformats.org/markup-compatibility/2006">
          <mc:Choice Requires="x14">
            <control shapeId="3129" r:id="rId34" name="Option_Mode_Design">
              <controlPr defaultSize="0" autoFill="0" autoLine="0" autoPict="0" macro="[0]!ProjectSettings.OnProjectModeChange">
                <anchor moveWithCells="1" sizeWithCells="1">
                  <from>
                    <xdr:col>3</xdr:col>
                    <xdr:colOff>66675</xdr:colOff>
                    <xdr:row>12</xdr:row>
                    <xdr:rowOff>0</xdr:rowOff>
                  </from>
                  <to>
                    <xdr:col>4</xdr:col>
                    <xdr:colOff>133350</xdr:colOff>
                    <xdr:row>13</xdr:row>
                    <xdr:rowOff>76200</xdr:rowOff>
                  </to>
                </anchor>
              </controlPr>
            </control>
          </mc:Choice>
        </mc:AlternateContent>
        <mc:AlternateContent xmlns:mc="http://schemas.openxmlformats.org/markup-compatibility/2006">
          <mc:Choice Requires="x14">
            <control shapeId="3130" r:id="rId35" name="Option_Mode_TestPlanning">
              <controlPr defaultSize="0" autoFill="0" autoLine="0" autoPict="0" macro="[0]!ProjectSettings.OnProjectModeChange">
                <anchor moveWithCells="1" sizeWithCells="1">
                  <from>
                    <xdr:col>4</xdr:col>
                    <xdr:colOff>342900</xdr:colOff>
                    <xdr:row>12</xdr:row>
                    <xdr:rowOff>0</xdr:rowOff>
                  </from>
                  <to>
                    <xdr:col>5</xdr:col>
                    <xdr:colOff>276225</xdr:colOff>
                    <xdr:row>13</xdr:row>
                    <xdr:rowOff>66675</xdr:rowOff>
                  </to>
                </anchor>
              </controlPr>
            </control>
          </mc:Choice>
        </mc:AlternateContent>
        <mc:AlternateContent xmlns:mc="http://schemas.openxmlformats.org/markup-compatibility/2006">
          <mc:Choice Requires="x14">
            <control shapeId="3131" r:id="rId36" name="Option_Mode_TestExecution">
              <controlPr defaultSize="0" autoFill="0" autoLine="0" autoPict="0" macro="[0]!ProjectSettings.OnProjectModeChange">
                <anchor moveWithCells="1" sizeWithCells="1">
                  <from>
                    <xdr:col>5</xdr:col>
                    <xdr:colOff>495300</xdr:colOff>
                    <xdr:row>12</xdr:row>
                    <xdr:rowOff>0</xdr:rowOff>
                  </from>
                  <to>
                    <xdr:col>7</xdr:col>
                    <xdr:colOff>342900</xdr:colOff>
                    <xdr:row>13</xdr:row>
                    <xdr:rowOff>66675</xdr:rowOff>
                  </to>
                </anchor>
              </controlPr>
            </control>
          </mc:Choice>
        </mc:AlternateContent>
        <mc:AlternateContent xmlns:mc="http://schemas.openxmlformats.org/markup-compatibility/2006">
          <mc:Choice Requires="x14">
            <control shapeId="3157" r:id="rId37" name="Group_Mode">
              <controlPr defaultSize="0" autoFill="0" autoPict="0">
                <anchor moveWithCells="1" sizeWithCells="1">
                  <from>
                    <xdr:col>2</xdr:col>
                    <xdr:colOff>523875</xdr:colOff>
                    <xdr:row>11</xdr:row>
                    <xdr:rowOff>47625</xdr:rowOff>
                  </from>
                  <to>
                    <xdr:col>7</xdr:col>
                    <xdr:colOff>428625</xdr:colOff>
                    <xdr:row>14</xdr:row>
                    <xdr:rowOff>0</xdr:rowOff>
                  </to>
                </anchor>
              </controlPr>
            </control>
          </mc:Choice>
        </mc:AlternateContent>
        <mc:AlternateContent xmlns:mc="http://schemas.openxmlformats.org/markup-compatibility/2006">
          <mc:Choice Requires="x14">
            <control shapeId="3163" r:id="rId38" name="Option_TestResults_TestSuites">
              <controlPr defaultSize="0" autoFill="0" autoLine="0" autoPict="0" macro="[0]!ProjectSettings.OnNewTestEntryPermission">
                <anchor moveWithCells="1" sizeWithCells="1">
                  <from>
                    <xdr:col>2</xdr:col>
                    <xdr:colOff>276225</xdr:colOff>
                    <xdr:row>57</xdr:row>
                    <xdr:rowOff>142875</xdr:rowOff>
                  </from>
                  <to>
                    <xdr:col>3</xdr:col>
                    <xdr:colOff>447675</xdr:colOff>
                    <xdr:row>59</xdr:row>
                    <xdr:rowOff>57150</xdr:rowOff>
                  </to>
                </anchor>
              </controlPr>
            </control>
          </mc:Choice>
        </mc:AlternateContent>
        <mc:AlternateContent xmlns:mc="http://schemas.openxmlformats.org/markup-compatibility/2006">
          <mc:Choice Requires="x14">
            <control shapeId="3164" r:id="rId39" name="Option_TestResults_TestCases">
              <controlPr defaultSize="0" autoFill="0" autoLine="0" autoPict="0" macro="[0]!ProjectSettings.OnNewTestEntryPermission">
                <anchor moveWithCells="1" sizeWithCells="1">
                  <from>
                    <xdr:col>4</xdr:col>
                    <xdr:colOff>57150</xdr:colOff>
                    <xdr:row>57</xdr:row>
                    <xdr:rowOff>142875</xdr:rowOff>
                  </from>
                  <to>
                    <xdr:col>4</xdr:col>
                    <xdr:colOff>847725</xdr:colOff>
                    <xdr:row>59</xdr:row>
                    <xdr:rowOff>57150</xdr:rowOff>
                  </to>
                </anchor>
              </controlPr>
            </control>
          </mc:Choice>
        </mc:AlternateContent>
        <mc:AlternateContent xmlns:mc="http://schemas.openxmlformats.org/markup-compatibility/2006">
          <mc:Choice Requires="x14">
            <control shapeId="3165" r:id="rId40" name="Option_TestResults_TestSteps">
              <controlPr defaultSize="0" autoFill="0" autoLine="0" autoPict="0" macro="[0]!ProjectSettings.OnNewTestEntryPermission">
                <anchor moveWithCells="1" sizeWithCells="1">
                  <from>
                    <xdr:col>4</xdr:col>
                    <xdr:colOff>1019175</xdr:colOff>
                    <xdr:row>57</xdr:row>
                    <xdr:rowOff>133350</xdr:rowOff>
                  </from>
                  <to>
                    <xdr:col>6</xdr:col>
                    <xdr:colOff>152400</xdr:colOff>
                    <xdr:row>59</xdr:row>
                    <xdr:rowOff>47625</xdr:rowOff>
                  </to>
                </anchor>
              </controlPr>
            </control>
          </mc:Choice>
        </mc:AlternateContent>
        <mc:AlternateContent xmlns:mc="http://schemas.openxmlformats.org/markup-compatibility/2006">
          <mc:Choice Requires="x14">
            <control shapeId="3167" r:id="rId41" name="Group Box 95">
              <controlPr defaultSize="0" autoFill="0" autoPict="0">
                <anchor moveWithCells="1" sizeWithCells="1">
                  <from>
                    <xdr:col>2</xdr:col>
                    <xdr:colOff>38100</xdr:colOff>
                    <xdr:row>57</xdr:row>
                    <xdr:rowOff>0</xdr:rowOff>
                  </from>
                  <to>
                    <xdr:col>6</xdr:col>
                    <xdr:colOff>352425</xdr:colOff>
                    <xdr:row>59</xdr:row>
                    <xdr:rowOff>123825</xdr:rowOff>
                  </to>
                </anchor>
              </controlPr>
            </control>
          </mc:Choice>
        </mc:AlternateContent>
        <mc:AlternateContent xmlns:mc="http://schemas.openxmlformats.org/markup-compatibility/2006">
          <mc:Choice Requires="x14">
            <control shapeId="3171" r:id="rId42" name="Option Button 99">
              <controlPr defaultSize="0" autoFill="0" autoLine="0" autoPict="0">
                <anchor moveWithCells="1" sizeWithCells="1">
                  <from>
                    <xdr:col>2</xdr:col>
                    <xdr:colOff>295275</xdr:colOff>
                    <xdr:row>87</xdr:row>
                    <xdr:rowOff>28575</xdr:rowOff>
                  </from>
                  <to>
                    <xdr:col>3</xdr:col>
                    <xdr:colOff>390525</xdr:colOff>
                    <xdr:row>88</xdr:row>
                    <xdr:rowOff>95250</xdr:rowOff>
                  </to>
                </anchor>
              </controlPr>
            </control>
          </mc:Choice>
        </mc:AlternateContent>
        <mc:AlternateContent xmlns:mc="http://schemas.openxmlformats.org/markup-compatibility/2006">
          <mc:Choice Requires="x14">
            <control shapeId="3172" r:id="rId43" name="Option Button 100">
              <controlPr defaultSize="0" autoFill="0" autoLine="0" autoPict="0">
                <anchor moveWithCells="1" sizeWithCells="1">
                  <from>
                    <xdr:col>4</xdr:col>
                    <xdr:colOff>0</xdr:colOff>
                    <xdr:row>87</xdr:row>
                    <xdr:rowOff>28575</xdr:rowOff>
                  </from>
                  <to>
                    <xdr:col>4</xdr:col>
                    <xdr:colOff>723900</xdr:colOff>
                    <xdr:row>88</xdr:row>
                    <xdr:rowOff>95250</xdr:rowOff>
                  </to>
                </anchor>
              </controlPr>
            </control>
          </mc:Choice>
        </mc:AlternateContent>
        <mc:AlternateContent xmlns:mc="http://schemas.openxmlformats.org/markup-compatibility/2006">
          <mc:Choice Requires="x14">
            <control shapeId="3173" r:id="rId44" name="Group_ResultsConsolidation">
              <controlPr defaultSize="0" autoFill="0" autoPict="0">
                <anchor moveWithCells="1" sizeWithCells="1">
                  <from>
                    <xdr:col>2</xdr:col>
                    <xdr:colOff>38100</xdr:colOff>
                    <xdr:row>86</xdr:row>
                    <xdr:rowOff>85725</xdr:rowOff>
                  </from>
                  <to>
                    <xdr:col>6</xdr:col>
                    <xdr:colOff>371475</xdr:colOff>
                    <xdr:row>89</xdr:row>
                    <xdr:rowOff>38100</xdr:rowOff>
                  </to>
                </anchor>
              </controlPr>
            </control>
          </mc:Choice>
        </mc:AlternateContent>
        <mc:AlternateContent xmlns:mc="http://schemas.openxmlformats.org/markup-compatibility/2006">
          <mc:Choice Requires="x14">
            <control shapeId="3178" r:id="rId45" name="Option Button 106">
              <controlPr defaultSize="0" autoFill="0" autoLine="0" autoPict="0">
                <anchor moveWithCells="1" sizeWithCells="1">
                  <from>
                    <xdr:col>4</xdr:col>
                    <xdr:colOff>914400</xdr:colOff>
                    <xdr:row>87</xdr:row>
                    <xdr:rowOff>28575</xdr:rowOff>
                  </from>
                  <to>
                    <xdr:col>6</xdr:col>
                    <xdr:colOff>161925</xdr:colOff>
                    <xdr:row>88</xdr:row>
                    <xdr:rowOff>95250</xdr:rowOff>
                  </to>
                </anchor>
              </controlPr>
            </control>
          </mc:Choice>
        </mc:AlternateContent>
        <mc:AlternateContent xmlns:mc="http://schemas.openxmlformats.org/markup-compatibility/2006">
          <mc:Choice Requires="x14">
            <control shapeId="3174" r:id="rId46" name="Option Button 102">
              <controlPr defaultSize="0" autoFill="0" autoLine="0" autoPict="0">
                <anchor moveWithCells="1" sizeWithCells="1">
                  <from>
                    <xdr:col>7</xdr:col>
                    <xdr:colOff>95250</xdr:colOff>
                    <xdr:row>87</xdr:row>
                    <xdr:rowOff>38100</xdr:rowOff>
                  </from>
                  <to>
                    <xdr:col>8</xdr:col>
                    <xdr:colOff>190500</xdr:colOff>
                    <xdr:row>88</xdr:row>
                    <xdr:rowOff>104775</xdr:rowOff>
                  </to>
                </anchor>
              </controlPr>
            </control>
          </mc:Choice>
        </mc:AlternateContent>
        <mc:AlternateContent xmlns:mc="http://schemas.openxmlformats.org/markup-compatibility/2006">
          <mc:Choice Requires="x14">
            <control shapeId="3175" r:id="rId47" name="Option Button 103">
              <controlPr defaultSize="0" autoFill="0" autoLine="0" autoPict="0">
                <anchor moveWithCells="1" sizeWithCells="1">
                  <from>
                    <xdr:col>8</xdr:col>
                    <xdr:colOff>485775</xdr:colOff>
                    <xdr:row>87</xdr:row>
                    <xdr:rowOff>38100</xdr:rowOff>
                  </from>
                  <to>
                    <xdr:col>9</xdr:col>
                    <xdr:colOff>571500</xdr:colOff>
                    <xdr:row>88</xdr:row>
                    <xdr:rowOff>104775</xdr:rowOff>
                  </to>
                </anchor>
              </controlPr>
            </control>
          </mc:Choice>
        </mc:AlternateContent>
        <mc:AlternateContent xmlns:mc="http://schemas.openxmlformats.org/markup-compatibility/2006">
          <mc:Choice Requires="x14">
            <control shapeId="3176" r:id="rId48" name="Group_ResultsConsolidationBG">
              <controlPr defaultSize="0" autoFill="0" autoPict="0">
                <anchor moveWithCells="1" sizeWithCells="1">
                  <from>
                    <xdr:col>6</xdr:col>
                    <xdr:colOff>466725</xdr:colOff>
                    <xdr:row>86</xdr:row>
                    <xdr:rowOff>85725</xdr:rowOff>
                  </from>
                  <to>
                    <xdr:col>11</xdr:col>
                    <xdr:colOff>561975</xdr:colOff>
                    <xdr:row>89</xdr:row>
                    <xdr:rowOff>38100</xdr:rowOff>
                  </to>
                </anchor>
              </controlPr>
            </control>
          </mc:Choice>
        </mc:AlternateContent>
        <mc:AlternateContent xmlns:mc="http://schemas.openxmlformats.org/markup-compatibility/2006">
          <mc:Choice Requires="x14">
            <control shapeId="3179" r:id="rId49" name="Option Button 107">
              <controlPr defaultSize="0" autoFill="0" autoLine="0" autoPict="0">
                <anchor moveWithCells="1" sizeWithCells="1">
                  <from>
                    <xdr:col>10</xdr:col>
                    <xdr:colOff>228600</xdr:colOff>
                    <xdr:row>87</xdr:row>
                    <xdr:rowOff>28575</xdr:rowOff>
                  </from>
                  <to>
                    <xdr:col>11</xdr:col>
                    <xdr:colOff>476250</xdr:colOff>
                    <xdr:row>88</xdr:row>
                    <xdr:rowOff>95250</xdr:rowOff>
                  </to>
                </anchor>
              </controlPr>
            </control>
          </mc:Choice>
        </mc:AlternateContent>
        <mc:AlternateContent xmlns:mc="http://schemas.openxmlformats.org/markup-compatibility/2006">
          <mc:Choice Requires="x14">
            <control shapeId="3145" r:id="rId50" name="Option_CycleResults_All">
              <controlPr defaultSize="0" autoFill="0" autoLine="0" autoPict="0">
                <anchor moveWithCells="1" sizeWithCells="1">
                  <from>
                    <xdr:col>7</xdr:col>
                    <xdr:colOff>95250</xdr:colOff>
                    <xdr:row>83</xdr:row>
                    <xdr:rowOff>57150</xdr:rowOff>
                  </from>
                  <to>
                    <xdr:col>8</xdr:col>
                    <xdr:colOff>428625</xdr:colOff>
                    <xdr:row>84</xdr:row>
                    <xdr:rowOff>123825</xdr:rowOff>
                  </to>
                </anchor>
              </controlPr>
            </control>
          </mc:Choice>
        </mc:AlternateContent>
        <mc:AlternateContent xmlns:mc="http://schemas.openxmlformats.org/markup-compatibility/2006">
          <mc:Choice Requires="x14">
            <control shapeId="3146" r:id="rId51" name="Option_CycleResults_CR">
              <controlPr defaultSize="0" autoFill="0" autoLine="0" autoPict="0">
                <anchor moveWithCells="1" sizeWithCells="1">
                  <from>
                    <xdr:col>8</xdr:col>
                    <xdr:colOff>485775</xdr:colOff>
                    <xdr:row>83</xdr:row>
                    <xdr:rowOff>57150</xdr:rowOff>
                  </from>
                  <to>
                    <xdr:col>9</xdr:col>
                    <xdr:colOff>342900</xdr:colOff>
                    <xdr:row>84</xdr:row>
                    <xdr:rowOff>123825</xdr:rowOff>
                  </to>
                </anchor>
              </controlPr>
            </control>
          </mc:Choice>
        </mc:AlternateContent>
        <mc:AlternateContent xmlns:mc="http://schemas.openxmlformats.org/markup-compatibility/2006">
          <mc:Choice Requires="x14">
            <control shapeId="3147" r:id="rId52" name="Group_Cycle_Results">
              <controlPr defaultSize="0" autoFill="0" autoPict="0">
                <anchor moveWithCells="1" sizeWithCells="1">
                  <from>
                    <xdr:col>6</xdr:col>
                    <xdr:colOff>476250</xdr:colOff>
                    <xdr:row>82</xdr:row>
                    <xdr:rowOff>85725</xdr:rowOff>
                  </from>
                  <to>
                    <xdr:col>11</xdr:col>
                    <xdr:colOff>561975</xdr:colOff>
                    <xdr:row>85</xdr:row>
                    <xdr:rowOff>57150</xdr:rowOff>
                  </to>
                </anchor>
              </controlPr>
            </control>
          </mc:Choice>
        </mc:AlternateContent>
        <mc:AlternateContent xmlns:mc="http://schemas.openxmlformats.org/markup-compatibility/2006">
          <mc:Choice Requires="x14">
            <control shapeId="3180" r:id="rId53" name="Option_CycleResults_CRBG">
              <controlPr defaultSize="0" autoFill="0" autoLine="0" autoPict="0">
                <anchor moveWithCells="1" sizeWithCells="1">
                  <from>
                    <xdr:col>10</xdr:col>
                    <xdr:colOff>228600</xdr:colOff>
                    <xdr:row>83</xdr:row>
                    <xdr:rowOff>57150</xdr:rowOff>
                  </from>
                  <to>
                    <xdr:col>11</xdr:col>
                    <xdr:colOff>161925</xdr:colOff>
                    <xdr:row>84</xdr:row>
                    <xdr:rowOff>123825</xdr:rowOff>
                  </to>
                </anchor>
              </controlPr>
            </control>
          </mc:Choice>
        </mc:AlternateContent>
        <mc:AlternateContent xmlns:mc="http://schemas.openxmlformats.org/markup-compatibility/2006">
          <mc:Choice Requires="x14">
            <control shapeId="3186" r:id="rId54" name="Option Button 114">
              <controlPr defaultSize="0" autoFill="0" autoLine="0" autoPict="0">
                <anchor moveWithCells="1" sizeWithCells="1">
                  <from>
                    <xdr:col>2</xdr:col>
                    <xdr:colOff>295275</xdr:colOff>
                    <xdr:row>91</xdr:row>
                    <xdr:rowOff>19050</xdr:rowOff>
                  </from>
                  <to>
                    <xdr:col>4</xdr:col>
                    <xdr:colOff>276225</xdr:colOff>
                    <xdr:row>92</xdr:row>
                    <xdr:rowOff>85725</xdr:rowOff>
                  </to>
                </anchor>
              </controlPr>
            </control>
          </mc:Choice>
        </mc:AlternateContent>
        <mc:AlternateContent xmlns:mc="http://schemas.openxmlformats.org/markup-compatibility/2006">
          <mc:Choice Requires="x14">
            <control shapeId="3187" r:id="rId55" name="Option Button 115">
              <controlPr defaultSize="0" autoFill="0" autoLine="0" autoPict="0">
                <anchor moveWithCells="1" sizeWithCells="1">
                  <from>
                    <xdr:col>4</xdr:col>
                    <xdr:colOff>485775</xdr:colOff>
                    <xdr:row>91</xdr:row>
                    <xdr:rowOff>9525</xdr:rowOff>
                  </from>
                  <to>
                    <xdr:col>6</xdr:col>
                    <xdr:colOff>266700</xdr:colOff>
                    <xdr:row>92</xdr:row>
                    <xdr:rowOff>76200</xdr:rowOff>
                  </to>
                </anchor>
              </controlPr>
            </control>
          </mc:Choice>
        </mc:AlternateContent>
        <mc:AlternateContent xmlns:mc="http://schemas.openxmlformats.org/markup-compatibility/2006">
          <mc:Choice Requires="x14">
            <control shapeId="3188" r:id="rId56" name="Group Box 116">
              <controlPr defaultSize="0" autoFill="0" autoPict="0">
                <anchor moveWithCells="1" sizeWithCells="1">
                  <from>
                    <xdr:col>2</xdr:col>
                    <xdr:colOff>38100</xdr:colOff>
                    <xdr:row>90</xdr:row>
                    <xdr:rowOff>38100</xdr:rowOff>
                  </from>
                  <to>
                    <xdr:col>6</xdr:col>
                    <xdr:colOff>371475</xdr:colOff>
                    <xdr:row>93</xdr:row>
                    <xdr:rowOff>9525</xdr:rowOff>
                  </to>
                </anchor>
              </controlPr>
            </control>
          </mc:Choice>
        </mc:AlternateContent>
        <mc:AlternateContent xmlns:mc="http://schemas.openxmlformats.org/markup-compatibility/2006">
          <mc:Choice Requires="x14">
            <control shapeId="3197" r:id="rId57" name="Option Button 125">
              <controlPr defaultSize="0" autoFill="0" autoLine="0" autoPict="0">
                <anchor moveWithCells="1" sizeWithCells="1">
                  <from>
                    <xdr:col>2</xdr:col>
                    <xdr:colOff>295275</xdr:colOff>
                    <xdr:row>94</xdr:row>
                    <xdr:rowOff>142875</xdr:rowOff>
                  </from>
                  <to>
                    <xdr:col>4</xdr:col>
                    <xdr:colOff>200025</xdr:colOff>
                    <xdr:row>96</xdr:row>
                    <xdr:rowOff>57150</xdr:rowOff>
                  </to>
                </anchor>
              </controlPr>
            </control>
          </mc:Choice>
        </mc:AlternateContent>
        <mc:AlternateContent xmlns:mc="http://schemas.openxmlformats.org/markup-compatibility/2006">
          <mc:Choice Requires="x14">
            <control shapeId="3198" r:id="rId58" name="Option Button 126">
              <controlPr defaultSize="0" autoFill="0" autoLine="0" autoPict="0">
                <anchor moveWithCells="1" sizeWithCells="1">
                  <from>
                    <xdr:col>4</xdr:col>
                    <xdr:colOff>485775</xdr:colOff>
                    <xdr:row>94</xdr:row>
                    <xdr:rowOff>142875</xdr:rowOff>
                  </from>
                  <to>
                    <xdr:col>6</xdr:col>
                    <xdr:colOff>104775</xdr:colOff>
                    <xdr:row>96</xdr:row>
                    <xdr:rowOff>57150</xdr:rowOff>
                  </to>
                </anchor>
              </controlPr>
            </control>
          </mc:Choice>
        </mc:AlternateContent>
        <mc:AlternateContent xmlns:mc="http://schemas.openxmlformats.org/markup-compatibility/2006">
          <mc:Choice Requires="x14">
            <control shapeId="3199" r:id="rId59" name="Group Box 127">
              <controlPr defaultSize="0" autoFill="0" autoPict="0">
                <anchor moveWithCells="1" sizeWithCells="1">
                  <from>
                    <xdr:col>2</xdr:col>
                    <xdr:colOff>38100</xdr:colOff>
                    <xdr:row>94</xdr:row>
                    <xdr:rowOff>19050</xdr:rowOff>
                  </from>
                  <to>
                    <xdr:col>6</xdr:col>
                    <xdr:colOff>361950</xdr:colOff>
                    <xdr:row>97</xdr:row>
                    <xdr:rowOff>9525</xdr:rowOff>
                  </to>
                </anchor>
              </controlPr>
            </control>
          </mc:Choice>
        </mc:AlternateContent>
        <mc:AlternateContent xmlns:mc="http://schemas.openxmlformats.org/markup-compatibility/2006">
          <mc:Choice Requires="x14">
            <control shapeId="3219" r:id="rId60" name="Group Box 147">
              <controlPr defaultSize="0" autoFill="0" autoPict="0">
                <anchor moveWithCells="1" sizeWithCells="1">
                  <from>
                    <xdr:col>2</xdr:col>
                    <xdr:colOff>38100</xdr:colOff>
                    <xdr:row>52</xdr:row>
                    <xdr:rowOff>114300</xdr:rowOff>
                  </from>
                  <to>
                    <xdr:col>6</xdr:col>
                    <xdr:colOff>361950</xdr:colOff>
                    <xdr:row>55</xdr:row>
                    <xdr:rowOff>104775</xdr:rowOff>
                  </to>
                </anchor>
              </controlPr>
            </control>
          </mc:Choice>
        </mc:AlternateContent>
        <mc:AlternateContent xmlns:mc="http://schemas.openxmlformats.org/markup-compatibility/2006">
          <mc:Choice Requires="x14">
            <control shapeId="3220" r:id="rId61" name="Group Box 148">
              <controlPr defaultSize="0" autoFill="0" autoPict="0">
                <anchor moveWithCells="1" sizeWithCells="1">
                  <from>
                    <xdr:col>6</xdr:col>
                    <xdr:colOff>466725</xdr:colOff>
                    <xdr:row>52</xdr:row>
                    <xdr:rowOff>114300</xdr:rowOff>
                  </from>
                  <to>
                    <xdr:col>11</xdr:col>
                    <xdr:colOff>571500</xdr:colOff>
                    <xdr:row>55</xdr:row>
                    <xdr:rowOff>104775</xdr:rowOff>
                  </to>
                </anchor>
              </controlPr>
            </control>
          </mc:Choice>
        </mc:AlternateContent>
        <mc:AlternateContent xmlns:mc="http://schemas.openxmlformats.org/markup-compatibility/2006">
          <mc:Choice Requires="x14">
            <control shapeId="3221" r:id="rId62" name="Option_NewCyclePermission_Design">
              <controlPr defaultSize="0" autoFill="0" autoLine="0" autoPict="0" macro="[0]!ProjectSettings.OnNewCyclePermission">
                <anchor moveWithCells="1" sizeWithCells="1">
                  <from>
                    <xdr:col>7</xdr:col>
                    <xdr:colOff>95250</xdr:colOff>
                    <xdr:row>53</xdr:row>
                    <xdr:rowOff>76200</xdr:rowOff>
                  </from>
                  <to>
                    <xdr:col>8</xdr:col>
                    <xdr:colOff>257175</xdr:colOff>
                    <xdr:row>54</xdr:row>
                    <xdr:rowOff>142875</xdr:rowOff>
                  </to>
                </anchor>
              </controlPr>
            </control>
          </mc:Choice>
        </mc:AlternateContent>
        <mc:AlternateContent xmlns:mc="http://schemas.openxmlformats.org/markup-compatibility/2006">
          <mc:Choice Requires="x14">
            <control shapeId="3222" r:id="rId63" name="Option Button 150">
              <controlPr defaultSize="0" autoFill="0" autoLine="0" autoPict="0" macro="[0]!ProjectSettings.OnNewCyclePermission">
                <anchor moveWithCells="1" sizeWithCells="1">
                  <from>
                    <xdr:col>8</xdr:col>
                    <xdr:colOff>485775</xdr:colOff>
                    <xdr:row>53</xdr:row>
                    <xdr:rowOff>76200</xdr:rowOff>
                  </from>
                  <to>
                    <xdr:col>10</xdr:col>
                    <xdr:colOff>47625</xdr:colOff>
                    <xdr:row>54</xdr:row>
                    <xdr:rowOff>142875</xdr:rowOff>
                  </to>
                </anchor>
              </controlPr>
            </control>
          </mc:Choice>
        </mc:AlternateContent>
        <mc:AlternateContent xmlns:mc="http://schemas.openxmlformats.org/markup-compatibility/2006">
          <mc:Choice Requires="x14">
            <control shapeId="3223" r:id="rId64" name="Option Button 151">
              <controlPr defaultSize="0" autoFill="0" autoLine="0" autoPict="0" macro="[0]!ProjectSettings.OnNewCyclePermission">
                <anchor moveWithCells="1" sizeWithCells="1">
                  <from>
                    <xdr:col>10</xdr:col>
                    <xdr:colOff>228600</xdr:colOff>
                    <xdr:row>53</xdr:row>
                    <xdr:rowOff>66675</xdr:rowOff>
                  </from>
                  <to>
                    <xdr:col>11</xdr:col>
                    <xdr:colOff>400050</xdr:colOff>
                    <xdr:row>54</xdr:row>
                    <xdr:rowOff>133350</xdr:rowOff>
                  </to>
                </anchor>
              </controlPr>
            </control>
          </mc:Choice>
        </mc:AlternateContent>
        <mc:AlternateContent xmlns:mc="http://schemas.openxmlformats.org/markup-compatibility/2006">
          <mc:Choice Requires="x14">
            <control shapeId="3224" r:id="rId65" name="Option Button 152">
              <controlPr defaultSize="0" autoFill="0" autoLine="0" autoPict="0" macro="[0]!ProjectSettings.OnNewConfigPermission">
                <anchor moveWithCells="1" sizeWithCells="1">
                  <from>
                    <xdr:col>2</xdr:col>
                    <xdr:colOff>285750</xdr:colOff>
                    <xdr:row>53</xdr:row>
                    <xdr:rowOff>95250</xdr:rowOff>
                  </from>
                  <to>
                    <xdr:col>3</xdr:col>
                    <xdr:colOff>447675</xdr:colOff>
                    <xdr:row>55</xdr:row>
                    <xdr:rowOff>9525</xdr:rowOff>
                  </to>
                </anchor>
              </controlPr>
            </control>
          </mc:Choice>
        </mc:AlternateContent>
        <mc:AlternateContent xmlns:mc="http://schemas.openxmlformats.org/markup-compatibility/2006">
          <mc:Choice Requires="x14">
            <control shapeId="3225" r:id="rId66" name="Option Button 153">
              <controlPr defaultSize="0" autoFill="0" autoLine="0" autoPict="0" macro="[0]!ProjectSettings.OnNewConfigPermission">
                <anchor moveWithCells="1" sizeWithCells="1">
                  <from>
                    <xdr:col>4</xdr:col>
                    <xdr:colOff>66675</xdr:colOff>
                    <xdr:row>53</xdr:row>
                    <xdr:rowOff>95250</xdr:rowOff>
                  </from>
                  <to>
                    <xdr:col>4</xdr:col>
                    <xdr:colOff>847725</xdr:colOff>
                    <xdr:row>55</xdr:row>
                    <xdr:rowOff>9525</xdr:rowOff>
                  </to>
                </anchor>
              </controlPr>
            </control>
          </mc:Choice>
        </mc:AlternateContent>
        <mc:AlternateContent xmlns:mc="http://schemas.openxmlformats.org/markup-compatibility/2006">
          <mc:Choice Requires="x14">
            <control shapeId="3226" r:id="rId67" name="Option Button 154">
              <controlPr defaultSize="0" autoFill="0" autoLine="0" autoPict="0" macro="[0]!ProjectSettings.OnNewConfigPermission">
                <anchor moveWithCells="1" sizeWithCells="1">
                  <from>
                    <xdr:col>4</xdr:col>
                    <xdr:colOff>1028700</xdr:colOff>
                    <xdr:row>53</xdr:row>
                    <xdr:rowOff>85725</xdr:rowOff>
                  </from>
                  <to>
                    <xdr:col>6</xdr:col>
                    <xdr:colOff>152400</xdr:colOff>
                    <xdr:row>55</xdr:row>
                    <xdr:rowOff>0</xdr:rowOff>
                  </to>
                </anchor>
              </controlPr>
            </control>
          </mc:Choice>
        </mc:AlternateContent>
        <mc:AlternateContent xmlns:mc="http://schemas.openxmlformats.org/markup-compatibility/2006">
          <mc:Choice Requires="x14">
            <control shapeId="3075" r:id="rId68" name="Check_W2KPro">
              <controlPr defaultSize="0" autoFill="0" autoLine="0" autoPict="0" altText="">
                <anchor moveWithCells="1" sizeWithCells="1">
                  <from>
                    <xdr:col>3</xdr:col>
                    <xdr:colOff>466725</xdr:colOff>
                    <xdr:row>78</xdr:row>
                    <xdr:rowOff>0</xdr:rowOff>
                  </from>
                  <to>
                    <xdr:col>4</xdr:col>
                    <xdr:colOff>523875</xdr:colOff>
                    <xdr:row>78</xdr:row>
                    <xdr:rowOff>0</xdr:rowOff>
                  </to>
                </anchor>
              </controlPr>
            </control>
          </mc:Choice>
        </mc:AlternateContent>
        <mc:AlternateContent xmlns:mc="http://schemas.openxmlformats.org/markup-compatibility/2006">
          <mc:Choice Requires="x14">
            <control shapeId="3076" r:id="rId69" name="Check_W2KServer">
              <controlPr defaultSize="0" autoFill="0" autoLine="0" autoPict="0" altText="">
                <anchor moveWithCells="1" sizeWithCells="1">
                  <from>
                    <xdr:col>3</xdr:col>
                    <xdr:colOff>466725</xdr:colOff>
                    <xdr:row>79</xdr:row>
                    <xdr:rowOff>85725</xdr:rowOff>
                  </from>
                  <to>
                    <xdr:col>4</xdr:col>
                    <xdr:colOff>695325</xdr:colOff>
                    <xdr:row>80</xdr:row>
                    <xdr:rowOff>133350</xdr:rowOff>
                  </to>
                </anchor>
              </controlPr>
            </control>
          </mc:Choice>
        </mc:AlternateContent>
        <mc:AlternateContent xmlns:mc="http://schemas.openxmlformats.org/markup-compatibility/2006">
          <mc:Choice Requires="x14">
            <control shapeId="3077" r:id="rId70" name="Check_WXPPro">
              <controlPr defaultSize="0" autoFill="0" autoLine="0" autoPict="0" altText="">
                <anchor moveWithCells="1" sizeWithCells="1">
                  <from>
                    <xdr:col>5</xdr:col>
                    <xdr:colOff>200025</xdr:colOff>
                    <xdr:row>79</xdr:row>
                    <xdr:rowOff>85725</xdr:rowOff>
                  </from>
                  <to>
                    <xdr:col>6</xdr:col>
                    <xdr:colOff>285750</xdr:colOff>
                    <xdr:row>80</xdr:row>
                    <xdr:rowOff>133350</xdr:rowOff>
                  </to>
                </anchor>
              </controlPr>
            </control>
          </mc:Choice>
        </mc:AlternateContent>
        <mc:AlternateContent xmlns:mc="http://schemas.openxmlformats.org/markup-compatibility/2006">
          <mc:Choice Requires="x14">
            <control shapeId="3078" r:id="rId71" name="Check_WXP_Home">
              <controlPr defaultSize="0" autoFill="0" autoLine="0" autoPict="0" altText="">
                <anchor moveWithCells="1" sizeWithCells="1">
                  <from>
                    <xdr:col>5</xdr:col>
                    <xdr:colOff>200025</xdr:colOff>
                    <xdr:row>78</xdr:row>
                    <xdr:rowOff>28575</xdr:rowOff>
                  </from>
                  <to>
                    <xdr:col>6</xdr:col>
                    <xdr:colOff>409575</xdr:colOff>
                    <xdr:row>79</xdr:row>
                    <xdr:rowOff>85725</xdr:rowOff>
                  </to>
                </anchor>
              </controlPr>
            </control>
          </mc:Choice>
        </mc:AlternateContent>
        <mc:AlternateContent xmlns:mc="http://schemas.openxmlformats.org/markup-compatibility/2006">
          <mc:Choice Requires="x14">
            <control shapeId="3079" r:id="rId72" name="Check_WXPProTE">
              <controlPr defaultSize="0" autoFill="0" autoLine="0" autoPict="0" altText="">
                <anchor moveWithCells="1" sizeWithCells="1">
                  <from>
                    <xdr:col>5</xdr:col>
                    <xdr:colOff>200025</xdr:colOff>
                    <xdr:row>80</xdr:row>
                    <xdr:rowOff>133350</xdr:rowOff>
                  </from>
                  <to>
                    <xdr:col>6</xdr:col>
                    <xdr:colOff>504825</xdr:colOff>
                    <xdr:row>98</xdr:row>
                    <xdr:rowOff>38100</xdr:rowOff>
                  </to>
                </anchor>
              </controlPr>
            </control>
          </mc:Choice>
        </mc:AlternateContent>
        <mc:AlternateContent xmlns:mc="http://schemas.openxmlformats.org/markup-compatibility/2006">
          <mc:Choice Requires="x14">
            <control shapeId="3080" r:id="rId73" name="Check_W2KAdvancedServer">
              <controlPr defaultSize="0" autoFill="0" autoLine="0" autoPict="0" altText="">
                <anchor moveWithCells="1" sizeWithCells="1">
                  <from>
                    <xdr:col>3</xdr:col>
                    <xdr:colOff>466725</xdr:colOff>
                    <xdr:row>80</xdr:row>
                    <xdr:rowOff>133350</xdr:rowOff>
                  </from>
                  <to>
                    <xdr:col>5</xdr:col>
                    <xdr:colOff>180975</xdr:colOff>
                    <xdr:row>98</xdr:row>
                    <xdr:rowOff>38100</xdr:rowOff>
                  </to>
                </anchor>
              </controlPr>
            </control>
          </mc:Choice>
        </mc:AlternateContent>
        <mc:AlternateContent xmlns:mc="http://schemas.openxmlformats.org/markup-compatibility/2006">
          <mc:Choice Requires="x14">
            <control shapeId="3081" r:id="rId74" name="Check_WXPMCE">
              <controlPr defaultSize="0" autoFill="0" autoLine="0" autoPict="0" altText="">
                <anchor moveWithCells="1" sizeWithCells="1">
                  <from>
                    <xdr:col>5</xdr:col>
                    <xdr:colOff>190500</xdr:colOff>
                    <xdr:row>98</xdr:row>
                    <xdr:rowOff>28575</xdr:rowOff>
                  </from>
                  <to>
                    <xdr:col>6</xdr:col>
                    <xdr:colOff>342900</xdr:colOff>
                    <xdr:row>99</xdr:row>
                    <xdr:rowOff>85725</xdr:rowOff>
                  </to>
                </anchor>
              </controlPr>
            </control>
          </mc:Choice>
        </mc:AlternateContent>
        <mc:AlternateContent xmlns:mc="http://schemas.openxmlformats.org/markup-compatibility/2006">
          <mc:Choice Requires="x14">
            <control shapeId="3082" r:id="rId75" name="Check_VistaHomeBasic">
              <controlPr defaultSize="0" autoFill="0" autoLine="0" autoPict="0" altText="">
                <anchor moveWithCells="1" sizeWithCells="1">
                  <from>
                    <xdr:col>7</xdr:col>
                    <xdr:colOff>142875</xdr:colOff>
                    <xdr:row>78</xdr:row>
                    <xdr:rowOff>28575</xdr:rowOff>
                  </from>
                  <to>
                    <xdr:col>9</xdr:col>
                    <xdr:colOff>19050</xdr:colOff>
                    <xdr:row>79</xdr:row>
                    <xdr:rowOff>85725</xdr:rowOff>
                  </to>
                </anchor>
              </controlPr>
            </control>
          </mc:Choice>
        </mc:AlternateContent>
        <mc:AlternateContent xmlns:mc="http://schemas.openxmlformats.org/markup-compatibility/2006">
          <mc:Choice Requires="x14">
            <control shapeId="3083" r:id="rId76" name="Check_VistaHomePremium">
              <controlPr defaultSize="0" autoFill="0" autoLine="0" autoPict="0" altText="">
                <anchor moveWithCells="1" sizeWithCells="1">
                  <from>
                    <xdr:col>7</xdr:col>
                    <xdr:colOff>142875</xdr:colOff>
                    <xdr:row>79</xdr:row>
                    <xdr:rowOff>85725</xdr:rowOff>
                  </from>
                  <to>
                    <xdr:col>9</xdr:col>
                    <xdr:colOff>180975</xdr:colOff>
                    <xdr:row>80</xdr:row>
                    <xdr:rowOff>133350</xdr:rowOff>
                  </to>
                </anchor>
              </controlPr>
            </control>
          </mc:Choice>
        </mc:AlternateContent>
        <mc:AlternateContent xmlns:mc="http://schemas.openxmlformats.org/markup-compatibility/2006">
          <mc:Choice Requires="x14">
            <control shapeId="3084" r:id="rId77" name="Check_VistaBusiness">
              <controlPr defaultSize="0" autoFill="0" autoLine="0" autoPict="0" altText="">
                <anchor moveWithCells="1" sizeWithCells="1">
                  <from>
                    <xdr:col>7</xdr:col>
                    <xdr:colOff>142875</xdr:colOff>
                    <xdr:row>80</xdr:row>
                    <xdr:rowOff>133350</xdr:rowOff>
                  </from>
                  <to>
                    <xdr:col>8</xdr:col>
                    <xdr:colOff>466725</xdr:colOff>
                    <xdr:row>98</xdr:row>
                    <xdr:rowOff>38100</xdr:rowOff>
                  </to>
                </anchor>
              </controlPr>
            </control>
          </mc:Choice>
        </mc:AlternateContent>
        <mc:AlternateContent xmlns:mc="http://schemas.openxmlformats.org/markup-compatibility/2006">
          <mc:Choice Requires="x14">
            <control shapeId="3085" r:id="rId78" name="Check_VistaEnterprise">
              <controlPr defaultSize="0" autoFill="0" autoLine="0" autoPict="0" altText="">
                <anchor moveWithCells="1" sizeWithCells="1">
                  <from>
                    <xdr:col>7</xdr:col>
                    <xdr:colOff>142875</xdr:colOff>
                    <xdr:row>98</xdr:row>
                    <xdr:rowOff>38100</xdr:rowOff>
                  </from>
                  <to>
                    <xdr:col>8</xdr:col>
                    <xdr:colOff>561975</xdr:colOff>
                    <xdr:row>99</xdr:row>
                    <xdr:rowOff>95250</xdr:rowOff>
                  </to>
                </anchor>
              </controlPr>
            </control>
          </mc:Choice>
        </mc:AlternateContent>
        <mc:AlternateContent xmlns:mc="http://schemas.openxmlformats.org/markup-compatibility/2006">
          <mc:Choice Requires="x14">
            <control shapeId="3086" r:id="rId79" name="Check_VistaUltimate">
              <controlPr defaultSize="0" autoFill="0" autoLine="0" autoPict="0" altText="">
                <anchor moveWithCells="1" sizeWithCells="1">
                  <from>
                    <xdr:col>7</xdr:col>
                    <xdr:colOff>142875</xdr:colOff>
                    <xdr:row>99</xdr:row>
                    <xdr:rowOff>85725</xdr:rowOff>
                  </from>
                  <to>
                    <xdr:col>8</xdr:col>
                    <xdr:colOff>476250</xdr:colOff>
                    <xdr:row>100</xdr:row>
                    <xdr:rowOff>133350</xdr:rowOff>
                  </to>
                </anchor>
              </controlPr>
            </control>
          </mc:Choice>
        </mc:AlternateContent>
        <mc:AlternateContent xmlns:mc="http://schemas.openxmlformats.org/markup-compatibility/2006">
          <mc:Choice Requires="x14">
            <control shapeId="3087" r:id="rId80" name="Check_LinuxRedHat">
              <controlPr defaultSize="0" autoFill="0" autoLine="0" autoPict="0" altText="">
                <anchor moveWithCells="1" sizeWithCells="1">
                  <from>
                    <xdr:col>2</xdr:col>
                    <xdr:colOff>28575</xdr:colOff>
                    <xdr:row>98</xdr:row>
                    <xdr:rowOff>57150</xdr:rowOff>
                  </from>
                  <to>
                    <xdr:col>3</xdr:col>
                    <xdr:colOff>419100</xdr:colOff>
                    <xdr:row>99</xdr:row>
                    <xdr:rowOff>114300</xdr:rowOff>
                  </to>
                </anchor>
              </controlPr>
            </control>
          </mc:Choice>
        </mc:AlternateContent>
        <mc:AlternateContent xmlns:mc="http://schemas.openxmlformats.org/markup-compatibility/2006">
          <mc:Choice Requires="x14">
            <control shapeId="3088" r:id="rId81" name="Check_LinuxSuSe">
              <controlPr defaultSize="0" autoFill="0" autoLine="0" autoPict="0" altText="">
                <anchor moveWithCells="1" sizeWithCells="1">
                  <from>
                    <xdr:col>2</xdr:col>
                    <xdr:colOff>28575</xdr:colOff>
                    <xdr:row>99</xdr:row>
                    <xdr:rowOff>114300</xdr:rowOff>
                  </from>
                  <to>
                    <xdr:col>3</xdr:col>
                    <xdr:colOff>285750</xdr:colOff>
                    <xdr:row>101</xdr:row>
                    <xdr:rowOff>9525</xdr:rowOff>
                  </to>
                </anchor>
              </controlPr>
            </control>
          </mc:Choice>
        </mc:AlternateContent>
        <mc:AlternateContent xmlns:mc="http://schemas.openxmlformats.org/markup-compatibility/2006">
          <mc:Choice Requires="x14">
            <control shapeId="3089" r:id="rId82" name="Check_MSDOS">
              <controlPr defaultSize="0" autoFill="0" autoLine="0" autoPict="0" altText="">
                <anchor moveWithCells="1" sizeWithCells="1">
                  <from>
                    <xdr:col>2</xdr:col>
                    <xdr:colOff>19050</xdr:colOff>
                    <xdr:row>78</xdr:row>
                    <xdr:rowOff>28575</xdr:rowOff>
                  </from>
                  <to>
                    <xdr:col>3</xdr:col>
                    <xdr:colOff>76200</xdr:colOff>
                    <xdr:row>79</xdr:row>
                    <xdr:rowOff>85725</xdr:rowOff>
                  </to>
                </anchor>
              </controlPr>
            </control>
          </mc:Choice>
        </mc:AlternateContent>
        <mc:AlternateContent xmlns:mc="http://schemas.openxmlformats.org/markup-compatibility/2006">
          <mc:Choice Requires="x14">
            <control shapeId="3090" r:id="rId83" name="Check_FreeDOS">
              <controlPr defaultSize="0" autoFill="0" autoLine="0" autoPict="0" altText="">
                <anchor moveWithCells="1" sizeWithCells="1">
                  <from>
                    <xdr:col>2</xdr:col>
                    <xdr:colOff>28575</xdr:colOff>
                    <xdr:row>79</xdr:row>
                    <xdr:rowOff>85725</xdr:rowOff>
                  </from>
                  <to>
                    <xdr:col>3</xdr:col>
                    <xdr:colOff>114300</xdr:colOff>
                    <xdr:row>80</xdr:row>
                    <xdr:rowOff>133350</xdr:rowOff>
                  </to>
                </anchor>
              </controlPr>
            </control>
          </mc:Choice>
        </mc:AlternateContent>
        <mc:AlternateContent xmlns:mc="http://schemas.openxmlformats.org/markup-compatibility/2006">
          <mc:Choice Requires="x14">
            <control shapeId="3193" r:id="rId84" name="Check Box 121">
              <controlPr defaultSize="0" autoFill="0" autoLine="0" autoPict="0">
                <anchor moveWithCells="1" sizeWithCells="1">
                  <from>
                    <xdr:col>2</xdr:col>
                    <xdr:colOff>28575</xdr:colOff>
                    <xdr:row>80</xdr:row>
                    <xdr:rowOff>142875</xdr:rowOff>
                  </from>
                  <to>
                    <xdr:col>3</xdr:col>
                    <xdr:colOff>0</xdr:colOff>
                    <xdr:row>98</xdr:row>
                    <xdr:rowOff>57150</xdr:rowOff>
                  </to>
                </anchor>
              </controlPr>
            </control>
          </mc:Choice>
        </mc:AlternateContent>
        <mc:AlternateContent xmlns:mc="http://schemas.openxmlformats.org/markup-compatibility/2006">
          <mc:Choice Requires="x14">
            <control shapeId="3237" r:id="rId85" name="Check_VistaHomeBasic64">
              <controlPr defaultSize="0" autoFill="0" autoLine="0" autoPict="0" altText="">
                <anchor moveWithCells="1" sizeWithCells="1">
                  <from>
                    <xdr:col>9</xdr:col>
                    <xdr:colOff>266700</xdr:colOff>
                    <xdr:row>78</xdr:row>
                    <xdr:rowOff>0</xdr:rowOff>
                  </from>
                  <to>
                    <xdr:col>11</xdr:col>
                    <xdr:colOff>285750</xdr:colOff>
                    <xdr:row>79</xdr:row>
                    <xdr:rowOff>66675</xdr:rowOff>
                  </to>
                </anchor>
              </controlPr>
            </control>
          </mc:Choice>
        </mc:AlternateContent>
        <mc:AlternateContent xmlns:mc="http://schemas.openxmlformats.org/markup-compatibility/2006">
          <mc:Choice Requires="x14">
            <control shapeId="3238" r:id="rId86" name="Check_VistaHomePremium64">
              <controlPr defaultSize="0" autoFill="0" autoLine="0" autoPict="0" altText="">
                <anchor moveWithCells="1" sizeWithCells="1">
                  <from>
                    <xdr:col>9</xdr:col>
                    <xdr:colOff>266700</xdr:colOff>
                    <xdr:row>79</xdr:row>
                    <xdr:rowOff>57150</xdr:rowOff>
                  </from>
                  <to>
                    <xdr:col>11</xdr:col>
                    <xdr:colOff>419100</xdr:colOff>
                    <xdr:row>80</xdr:row>
                    <xdr:rowOff>123825</xdr:rowOff>
                  </to>
                </anchor>
              </controlPr>
            </control>
          </mc:Choice>
        </mc:AlternateContent>
        <mc:AlternateContent xmlns:mc="http://schemas.openxmlformats.org/markup-compatibility/2006">
          <mc:Choice Requires="x14">
            <control shapeId="3239" r:id="rId87" name="Check_VistaBusiness64">
              <controlPr defaultSize="0" autoFill="0" autoLine="0" autoPict="0" altText="">
                <anchor moveWithCells="1" sizeWithCells="1">
                  <from>
                    <xdr:col>9</xdr:col>
                    <xdr:colOff>266700</xdr:colOff>
                    <xdr:row>80</xdr:row>
                    <xdr:rowOff>104775</xdr:rowOff>
                  </from>
                  <to>
                    <xdr:col>11</xdr:col>
                    <xdr:colOff>161925</xdr:colOff>
                    <xdr:row>98</xdr:row>
                    <xdr:rowOff>19050</xdr:rowOff>
                  </to>
                </anchor>
              </controlPr>
            </control>
          </mc:Choice>
        </mc:AlternateContent>
        <mc:AlternateContent xmlns:mc="http://schemas.openxmlformats.org/markup-compatibility/2006">
          <mc:Choice Requires="x14">
            <control shapeId="3240" r:id="rId88" name="Check_VistaEnterprise64">
              <controlPr defaultSize="0" autoFill="0" autoLine="0" autoPict="0" altText="">
                <anchor moveWithCells="1" sizeWithCells="1">
                  <from>
                    <xdr:col>9</xdr:col>
                    <xdr:colOff>266700</xdr:colOff>
                    <xdr:row>98</xdr:row>
                    <xdr:rowOff>9525</xdr:rowOff>
                  </from>
                  <to>
                    <xdr:col>11</xdr:col>
                    <xdr:colOff>238125</xdr:colOff>
                    <xdr:row>99</xdr:row>
                    <xdr:rowOff>76200</xdr:rowOff>
                  </to>
                </anchor>
              </controlPr>
            </control>
          </mc:Choice>
        </mc:AlternateContent>
        <mc:AlternateContent xmlns:mc="http://schemas.openxmlformats.org/markup-compatibility/2006">
          <mc:Choice Requires="x14">
            <control shapeId="3241" r:id="rId89" name="Check_VistaUltimate64">
              <controlPr defaultSize="0" autoFill="0" autoLine="0" autoPict="0" altText="">
                <anchor moveWithCells="1" sizeWithCells="1">
                  <from>
                    <xdr:col>9</xdr:col>
                    <xdr:colOff>266700</xdr:colOff>
                    <xdr:row>99</xdr:row>
                    <xdr:rowOff>57150</xdr:rowOff>
                  </from>
                  <to>
                    <xdr:col>11</xdr:col>
                    <xdr:colOff>142875</xdr:colOff>
                    <xdr:row>100</xdr:row>
                    <xdr:rowOff>123825</xdr:rowOff>
                  </to>
                </anchor>
              </controlPr>
            </control>
          </mc:Choice>
        </mc:AlternateContent>
        <mc:AlternateContent xmlns:mc="http://schemas.openxmlformats.org/markup-compatibility/2006">
          <mc:Choice Requires="x14">
            <control shapeId="3247" r:id="rId90" name="Check_WXPPro64">
              <controlPr defaultSize="0" autoFill="0" autoLine="0" autoPict="0" altText="">
                <anchor moveWithCells="1" sizeWithCells="1">
                  <from>
                    <xdr:col>5</xdr:col>
                    <xdr:colOff>190500</xdr:colOff>
                    <xdr:row>99</xdr:row>
                    <xdr:rowOff>85725</xdr:rowOff>
                  </from>
                  <to>
                    <xdr:col>6</xdr:col>
                    <xdr:colOff>485775</xdr:colOff>
                    <xdr:row>101</xdr:row>
                    <xdr:rowOff>0</xdr:rowOff>
                  </to>
                </anchor>
              </controlPr>
            </control>
          </mc:Choice>
        </mc:AlternateContent>
        <mc:AlternateContent xmlns:mc="http://schemas.openxmlformats.org/markup-compatibility/2006">
          <mc:Choice Requires="x14">
            <control shapeId="3271" r:id="rId91" name="Check_Win7B">
              <controlPr defaultSize="0" autoFill="0" autoLine="0" autoPict="0">
                <anchor moveWithCells="1" sizeWithCells="1">
                  <from>
                    <xdr:col>2</xdr:col>
                    <xdr:colOff>28575</xdr:colOff>
                    <xdr:row>101</xdr:row>
                    <xdr:rowOff>38100</xdr:rowOff>
                  </from>
                  <to>
                    <xdr:col>3</xdr:col>
                    <xdr:colOff>428625</xdr:colOff>
                    <xdr:row>102</xdr:row>
                    <xdr:rowOff>95250</xdr:rowOff>
                  </to>
                </anchor>
              </controlPr>
            </control>
          </mc:Choice>
        </mc:AlternateContent>
        <mc:AlternateContent xmlns:mc="http://schemas.openxmlformats.org/markup-compatibility/2006">
          <mc:Choice Requires="x14">
            <control shapeId="3272" r:id="rId92" name="Check_Win7HP">
              <controlPr defaultSize="0" autoFill="0" autoLine="0" autoPict="0">
                <anchor moveWithCells="1" sizeWithCells="1">
                  <from>
                    <xdr:col>3</xdr:col>
                    <xdr:colOff>466725</xdr:colOff>
                    <xdr:row>101</xdr:row>
                    <xdr:rowOff>38100</xdr:rowOff>
                  </from>
                  <to>
                    <xdr:col>5</xdr:col>
                    <xdr:colOff>180975</xdr:colOff>
                    <xdr:row>102</xdr:row>
                    <xdr:rowOff>114300</xdr:rowOff>
                  </to>
                </anchor>
              </controlPr>
            </control>
          </mc:Choice>
        </mc:AlternateContent>
        <mc:AlternateContent xmlns:mc="http://schemas.openxmlformats.org/markup-compatibility/2006">
          <mc:Choice Requires="x14">
            <control shapeId="3273" r:id="rId93" name="Check_Win7U">
              <controlPr defaultSize="0" autoFill="0" autoLine="0" autoPict="0">
                <anchor moveWithCells="1" sizeWithCells="1">
                  <from>
                    <xdr:col>5</xdr:col>
                    <xdr:colOff>190500</xdr:colOff>
                    <xdr:row>101</xdr:row>
                    <xdr:rowOff>38100</xdr:rowOff>
                  </from>
                  <to>
                    <xdr:col>7</xdr:col>
                    <xdr:colOff>114300</xdr:colOff>
                    <xdr:row>102</xdr:row>
                    <xdr:rowOff>114300</xdr:rowOff>
                  </to>
                </anchor>
              </controlPr>
            </control>
          </mc:Choice>
        </mc:AlternateContent>
        <mc:AlternateContent xmlns:mc="http://schemas.openxmlformats.org/markup-compatibility/2006">
          <mc:Choice Requires="x14">
            <control shapeId="3274" r:id="rId94" name="Check_Win7HB">
              <controlPr defaultSize="0" autoFill="0" autoLine="0" autoPict="0">
                <anchor moveWithCells="1" sizeWithCells="1">
                  <from>
                    <xdr:col>7</xdr:col>
                    <xdr:colOff>142875</xdr:colOff>
                    <xdr:row>101</xdr:row>
                    <xdr:rowOff>38100</xdr:rowOff>
                  </from>
                  <to>
                    <xdr:col>9</xdr:col>
                    <xdr:colOff>190500</xdr:colOff>
                    <xdr:row>102</xdr:row>
                    <xdr:rowOff>95250</xdr:rowOff>
                  </to>
                </anchor>
              </controlPr>
            </control>
          </mc:Choice>
        </mc:AlternateContent>
        <mc:AlternateContent xmlns:mc="http://schemas.openxmlformats.org/markup-compatibility/2006">
          <mc:Choice Requires="x14">
            <control shapeId="3275" r:id="rId95" name="Check_Win7E">
              <controlPr defaultSize="0" autoFill="0" autoLine="0" autoPict="0">
                <anchor moveWithCells="1" sizeWithCells="1">
                  <from>
                    <xdr:col>9</xdr:col>
                    <xdr:colOff>266700</xdr:colOff>
                    <xdr:row>101</xdr:row>
                    <xdr:rowOff>38100</xdr:rowOff>
                  </from>
                  <to>
                    <xdr:col>11</xdr:col>
                    <xdr:colOff>314325</xdr:colOff>
                    <xdr:row>102</xdr:row>
                    <xdr:rowOff>95250</xdr:rowOff>
                  </to>
                </anchor>
              </controlPr>
            </control>
          </mc:Choice>
        </mc:AlternateContent>
        <mc:AlternateContent xmlns:mc="http://schemas.openxmlformats.org/markup-compatibility/2006">
          <mc:Choice Requires="x14">
            <control shapeId="3276" r:id="rId96" name="Check_Win7B64">
              <controlPr defaultSize="0" autoFill="0" autoLine="0" autoPict="0">
                <anchor moveWithCells="1" sizeWithCells="1">
                  <from>
                    <xdr:col>2</xdr:col>
                    <xdr:colOff>28575</xdr:colOff>
                    <xdr:row>102</xdr:row>
                    <xdr:rowOff>104775</xdr:rowOff>
                  </from>
                  <to>
                    <xdr:col>3</xdr:col>
                    <xdr:colOff>495300</xdr:colOff>
                    <xdr:row>104</xdr:row>
                    <xdr:rowOff>9525</xdr:rowOff>
                  </to>
                </anchor>
              </controlPr>
            </control>
          </mc:Choice>
        </mc:AlternateContent>
        <mc:AlternateContent xmlns:mc="http://schemas.openxmlformats.org/markup-compatibility/2006">
          <mc:Choice Requires="x14">
            <control shapeId="3277" r:id="rId97" name="Check_Win7HP64">
              <controlPr defaultSize="0" autoFill="0" autoLine="0" autoPict="0">
                <anchor moveWithCells="1" sizeWithCells="1">
                  <from>
                    <xdr:col>3</xdr:col>
                    <xdr:colOff>466725</xdr:colOff>
                    <xdr:row>102</xdr:row>
                    <xdr:rowOff>104775</xdr:rowOff>
                  </from>
                  <to>
                    <xdr:col>5</xdr:col>
                    <xdr:colOff>142875</xdr:colOff>
                    <xdr:row>104</xdr:row>
                    <xdr:rowOff>9525</xdr:rowOff>
                  </to>
                </anchor>
              </controlPr>
            </control>
          </mc:Choice>
        </mc:AlternateContent>
        <mc:AlternateContent xmlns:mc="http://schemas.openxmlformats.org/markup-compatibility/2006">
          <mc:Choice Requires="x14">
            <control shapeId="3278" r:id="rId98" name="Check_Win7U64">
              <controlPr defaultSize="0" autoFill="0" autoLine="0" autoPict="0">
                <anchor moveWithCells="1" sizeWithCells="1">
                  <from>
                    <xdr:col>5</xdr:col>
                    <xdr:colOff>190500</xdr:colOff>
                    <xdr:row>102</xdr:row>
                    <xdr:rowOff>104775</xdr:rowOff>
                  </from>
                  <to>
                    <xdr:col>7</xdr:col>
                    <xdr:colOff>47625</xdr:colOff>
                    <xdr:row>104</xdr:row>
                    <xdr:rowOff>9525</xdr:rowOff>
                  </to>
                </anchor>
              </controlPr>
            </control>
          </mc:Choice>
        </mc:AlternateContent>
        <mc:AlternateContent xmlns:mc="http://schemas.openxmlformats.org/markup-compatibility/2006">
          <mc:Choice Requires="x14">
            <control shapeId="3279" r:id="rId99" name="Check_Win7HB64">
              <controlPr defaultSize="0" autoFill="0" autoLine="0" autoPict="0">
                <anchor moveWithCells="1" sizeWithCells="1">
                  <from>
                    <xdr:col>7</xdr:col>
                    <xdr:colOff>142875</xdr:colOff>
                    <xdr:row>102</xdr:row>
                    <xdr:rowOff>104775</xdr:rowOff>
                  </from>
                  <to>
                    <xdr:col>9</xdr:col>
                    <xdr:colOff>190500</xdr:colOff>
                    <xdr:row>104</xdr:row>
                    <xdr:rowOff>9525</xdr:rowOff>
                  </to>
                </anchor>
              </controlPr>
            </control>
          </mc:Choice>
        </mc:AlternateContent>
        <mc:AlternateContent xmlns:mc="http://schemas.openxmlformats.org/markup-compatibility/2006">
          <mc:Choice Requires="x14">
            <control shapeId="3280" r:id="rId100" name="Check_Win7E64">
              <controlPr defaultSize="0" autoFill="0" autoLine="0" autoPict="0">
                <anchor moveWithCells="1" sizeWithCells="1">
                  <from>
                    <xdr:col>9</xdr:col>
                    <xdr:colOff>266700</xdr:colOff>
                    <xdr:row>102</xdr:row>
                    <xdr:rowOff>104775</xdr:rowOff>
                  </from>
                  <to>
                    <xdr:col>11</xdr:col>
                    <xdr:colOff>314325</xdr:colOff>
                    <xdr:row>104</xdr:row>
                    <xdr:rowOff>9525</xdr:rowOff>
                  </to>
                </anchor>
              </controlPr>
            </control>
          </mc:Choice>
        </mc:AlternateContent>
        <mc:AlternateContent xmlns:mc="http://schemas.openxmlformats.org/markup-compatibility/2006">
          <mc:Choice Requires="x14">
            <control shapeId="3301" r:id="rId101" name="Check_Win7S">
              <controlPr defaultSize="0" autoFill="0" autoLine="0" autoPict="0">
                <anchor moveWithCells="1" sizeWithCells="1">
                  <from>
                    <xdr:col>2</xdr:col>
                    <xdr:colOff>28575</xdr:colOff>
                    <xdr:row>104</xdr:row>
                    <xdr:rowOff>19050</xdr:rowOff>
                  </from>
                  <to>
                    <xdr:col>3</xdr:col>
                    <xdr:colOff>495300</xdr:colOff>
                    <xdr:row>105</xdr:row>
                    <xdr:rowOff>76200</xdr:rowOff>
                  </to>
                </anchor>
              </controlPr>
            </control>
          </mc:Choice>
        </mc:AlternateContent>
        <mc:AlternateContent xmlns:mc="http://schemas.openxmlformats.org/markup-compatibility/2006">
          <mc:Choice Requires="x14">
            <control shapeId="3303" r:id="rId102" name="Check_EFI32">
              <controlPr defaultSize="0" autoFill="0" autoLine="0" autoPict="0">
                <anchor moveWithCells="1" sizeWithCells="1">
                  <from>
                    <xdr:col>3</xdr:col>
                    <xdr:colOff>466725</xdr:colOff>
                    <xdr:row>104</xdr:row>
                    <xdr:rowOff>19050</xdr:rowOff>
                  </from>
                  <to>
                    <xdr:col>4</xdr:col>
                    <xdr:colOff>942975</xdr:colOff>
                    <xdr:row>105</xdr:row>
                    <xdr:rowOff>76200</xdr:rowOff>
                  </to>
                </anchor>
              </controlPr>
            </control>
          </mc:Choice>
        </mc:AlternateContent>
        <mc:AlternateContent xmlns:mc="http://schemas.openxmlformats.org/markup-compatibility/2006">
          <mc:Choice Requires="x14">
            <control shapeId="3304" r:id="rId103" name="Check_EFI64">
              <controlPr defaultSize="0" autoFill="0" autoLine="0" autoPict="0">
                <anchor moveWithCells="1" sizeWithCells="1">
                  <from>
                    <xdr:col>5</xdr:col>
                    <xdr:colOff>190500</xdr:colOff>
                    <xdr:row>104</xdr:row>
                    <xdr:rowOff>19050</xdr:rowOff>
                  </from>
                  <to>
                    <xdr:col>7</xdr:col>
                    <xdr:colOff>47625</xdr:colOff>
                    <xdr:row>105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Configuration"/>
  <dimension ref="A1:CI221"/>
  <sheetViews>
    <sheetView showGridLines="0" showRowColHeaders="0" workbookViewId="0">
      <selection activeCell="E36" sqref="E36"/>
    </sheetView>
  </sheetViews>
  <sheetFormatPr defaultColWidth="19.28515625" defaultRowHeight="12.75"/>
  <cols>
    <col min="1" max="1" width="15.140625" style="2" bestFit="1" customWidth="1"/>
    <col min="2" max="2" width="56.28515625" style="2" bestFit="1" customWidth="1"/>
    <col min="3" max="3" width="14.85546875" style="2" bestFit="1" customWidth="1"/>
    <col min="4" max="4" width="11.5703125" style="2" bestFit="1" customWidth="1"/>
    <col min="5" max="5" width="72.140625" style="2" bestFit="1" customWidth="1"/>
    <col min="6" max="6" width="33.28515625" style="2" bestFit="1" customWidth="1"/>
    <col min="7" max="7" width="56.140625" style="2" bestFit="1" customWidth="1"/>
    <col min="8" max="8" width="35" style="2" bestFit="1" customWidth="1"/>
    <col min="9" max="9" width="55" style="2" bestFit="1" customWidth="1"/>
    <col min="10" max="10" width="19.140625" style="2" bestFit="1" customWidth="1"/>
    <col min="11" max="11" width="39.7109375" style="2" bestFit="1" customWidth="1"/>
    <col min="12" max="12" width="8.7109375" style="2" bestFit="1" customWidth="1"/>
    <col min="13" max="16" width="59.85546875" style="2" bestFit="1" customWidth="1"/>
    <col min="17" max="17" width="45.7109375" style="2" bestFit="1" customWidth="1"/>
    <col min="18" max="18" width="48" style="2" bestFit="1" customWidth="1"/>
    <col min="19" max="19" width="28.85546875" style="2" bestFit="1" customWidth="1"/>
    <col min="20" max="20" width="22.140625" style="2" bestFit="1" customWidth="1"/>
    <col min="21" max="21" width="35.140625" style="2" bestFit="1" customWidth="1"/>
    <col min="22" max="22" width="56.140625" style="2" bestFit="1" customWidth="1"/>
    <col min="23" max="23" width="18.28515625" style="2" bestFit="1" customWidth="1"/>
    <col min="24" max="24" width="20" style="2" bestFit="1" customWidth="1"/>
    <col min="25" max="25" width="25.140625" style="2" bestFit="1" customWidth="1"/>
    <col min="26" max="26" width="52.5703125" style="2" bestFit="1" customWidth="1"/>
    <col min="27" max="27" width="18.5703125" bestFit="1" customWidth="1"/>
    <col min="28" max="28" width="17.7109375" style="2" bestFit="1" customWidth="1"/>
    <col min="29" max="29" width="19.5703125" style="2" bestFit="1" customWidth="1"/>
    <col min="30" max="30" width="11.85546875" style="2" bestFit="1" customWidth="1"/>
    <col min="31" max="31" width="9.7109375" style="2" bestFit="1" customWidth="1"/>
    <col min="32" max="32" width="7.7109375" style="2" bestFit="1" customWidth="1"/>
    <col min="33" max="33" width="61.140625" style="2" bestFit="1" customWidth="1"/>
    <col min="34" max="34" width="21.7109375" style="2" bestFit="1" customWidth="1"/>
    <col min="35" max="35" width="16.85546875" style="2" bestFit="1" customWidth="1"/>
    <col min="36" max="36" width="61.140625" style="2" bestFit="1" customWidth="1"/>
    <col min="37" max="37" width="27.140625" style="2" bestFit="1" customWidth="1"/>
    <col min="38" max="38" width="25.28515625" style="2" bestFit="1" customWidth="1"/>
    <col min="39" max="39" width="32" style="2" bestFit="1" customWidth="1"/>
    <col min="40" max="40" width="16.140625" style="2" bestFit="1" customWidth="1"/>
    <col min="41" max="41" width="12.85546875" style="2" bestFit="1" customWidth="1"/>
    <col min="42" max="42" width="12" style="2" bestFit="1" customWidth="1"/>
    <col min="43" max="43" width="13.42578125" style="2" bestFit="1" customWidth="1"/>
    <col min="44" max="44" width="5.140625" style="2" bestFit="1" customWidth="1"/>
    <col min="45" max="45" width="13.7109375" style="2" bestFit="1" customWidth="1"/>
    <col min="46" max="46" width="19.42578125" style="2" bestFit="1" customWidth="1"/>
    <col min="47" max="47" width="11.140625" style="2" bestFit="1" customWidth="1"/>
    <col min="48" max="48" width="14.5703125" style="2" bestFit="1" customWidth="1"/>
    <col min="49" max="49" width="27.140625" style="2" bestFit="1" customWidth="1"/>
    <col min="50" max="50" width="18" style="2" bestFit="1" customWidth="1"/>
    <col min="51" max="51" width="13.7109375" style="2" bestFit="1" customWidth="1"/>
    <col min="52" max="52" width="23.7109375" style="2" bestFit="1" customWidth="1"/>
    <col min="53" max="53" width="10.140625" style="2" bestFit="1" customWidth="1"/>
    <col min="54" max="54" width="15.5703125" style="2" bestFit="1" customWidth="1"/>
    <col min="55" max="56" width="19.140625" style="2" bestFit="1" customWidth="1"/>
    <col min="57" max="57" width="12" style="2" bestFit="1" customWidth="1"/>
    <col min="58" max="58" width="7.7109375" style="2" bestFit="1" customWidth="1"/>
    <col min="59" max="59" width="27.140625" style="2" bestFit="1" customWidth="1"/>
    <col min="60" max="60" width="56.140625" style="2" bestFit="1" customWidth="1"/>
    <col min="61" max="61" width="14.85546875" style="2" bestFit="1" customWidth="1"/>
    <col min="62" max="62" width="12.140625" style="2" bestFit="1" customWidth="1"/>
    <col min="63" max="63" width="6.42578125" style="2" bestFit="1" customWidth="1"/>
    <col min="64" max="64" width="8" style="2" bestFit="1" customWidth="1"/>
    <col min="65" max="65" width="34" style="2" bestFit="1" customWidth="1"/>
    <col min="66" max="66" width="7" style="2" bestFit="1" customWidth="1"/>
    <col min="67" max="67" width="16.28515625" style="2" bestFit="1" customWidth="1"/>
    <col min="68" max="68" width="16.7109375" style="2" bestFit="1" customWidth="1"/>
    <col min="69" max="69" width="21" style="2" bestFit="1" customWidth="1"/>
    <col min="70" max="70" width="36.42578125" style="2" bestFit="1" customWidth="1"/>
    <col min="71" max="71" width="54.7109375" style="2" bestFit="1" customWidth="1"/>
    <col min="72" max="72" width="34.140625" style="2" bestFit="1" customWidth="1"/>
    <col min="73" max="73" width="8.42578125" style="2" bestFit="1" customWidth="1"/>
    <col min="74" max="74" width="15.5703125" style="2" bestFit="1" customWidth="1"/>
    <col min="75" max="75" width="11.42578125" style="2" bestFit="1" customWidth="1"/>
    <col min="76" max="77" width="8.140625" style="2" bestFit="1" customWidth="1"/>
    <col min="78" max="78" width="58" style="2" bestFit="1" customWidth="1"/>
    <col min="79" max="79" width="12.85546875" style="2" bestFit="1" customWidth="1"/>
    <col min="80" max="80" width="11.140625" style="2" bestFit="1" customWidth="1"/>
    <col min="81" max="81" width="21.140625" style="2" bestFit="1" customWidth="1"/>
    <col min="82" max="82" width="8.42578125" style="2" bestFit="1" customWidth="1"/>
    <col min="83" max="83" width="34" style="2" bestFit="1" customWidth="1"/>
    <col min="84" max="84" width="57.7109375" style="2" bestFit="1" customWidth="1"/>
    <col min="85" max="85" width="34" style="2" bestFit="1" customWidth="1"/>
    <col min="86" max="86" width="13.28515625" style="2" bestFit="1" customWidth="1"/>
    <col min="87" max="87" width="10.140625" style="2" bestFit="1" customWidth="1"/>
    <col min="88" max="16384" width="19.28515625" style="2"/>
  </cols>
  <sheetData>
    <row r="1" spans="1:87">
      <c r="A1" s="34" t="s">
        <v>421</v>
      </c>
      <c r="B1" s="30"/>
      <c r="C1" s="35"/>
      <c r="D1" s="35"/>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c r="BU1"/>
      <c r="BV1"/>
      <c r="BW1"/>
      <c r="BX1"/>
      <c r="BY1"/>
      <c r="BZ1"/>
      <c r="CA1"/>
      <c r="CB1"/>
      <c r="CC1"/>
      <c r="CD1"/>
      <c r="CE1"/>
      <c r="CF1"/>
      <c r="CG1"/>
      <c r="CH1"/>
      <c r="CI1"/>
    </row>
    <row r="2" spans="1:87">
      <c r="A2" s="30" t="s">
        <v>2560</v>
      </c>
      <c r="B2" s="27" t="s">
        <v>164</v>
      </c>
      <c r="C2" s="27" t="s">
        <v>692</v>
      </c>
      <c r="D2" s="27" t="s">
        <v>163</v>
      </c>
      <c r="E2" s="27" t="s">
        <v>693</v>
      </c>
      <c r="F2" s="27" t="s">
        <v>210</v>
      </c>
      <c r="G2" s="27" t="s">
        <v>694</v>
      </c>
      <c r="H2" s="27" t="s">
        <v>167</v>
      </c>
      <c r="I2" s="27" t="s">
        <v>211</v>
      </c>
      <c r="J2" s="27" t="s">
        <v>1432</v>
      </c>
      <c r="K2" s="27" t="s">
        <v>908</v>
      </c>
      <c r="L2" s="27" t="s">
        <v>162</v>
      </c>
      <c r="M2" s="27" t="s">
        <v>212</v>
      </c>
      <c r="N2" s="27" t="s">
        <v>213</v>
      </c>
      <c r="O2" s="27" t="s">
        <v>695</v>
      </c>
      <c r="P2" s="27" t="s">
        <v>696</v>
      </c>
      <c r="Q2" s="27" t="s">
        <v>87</v>
      </c>
      <c r="R2" s="27" t="s">
        <v>214</v>
      </c>
      <c r="S2" s="27" t="s">
        <v>181</v>
      </c>
      <c r="T2" s="27" t="s">
        <v>697</v>
      </c>
      <c r="U2" s="27" t="s">
        <v>698</v>
      </c>
      <c r="V2" s="27" t="s">
        <v>699</v>
      </c>
      <c r="W2"/>
      <c r="X2" s="27" t="s">
        <v>215</v>
      </c>
      <c r="Y2" s="27" t="s">
        <v>216</v>
      </c>
      <c r="Z2" s="27" t="s">
        <v>160</v>
      </c>
      <c r="AA2" s="27" t="s">
        <v>179</v>
      </c>
      <c r="AB2" s="27" t="s">
        <v>217</v>
      </c>
      <c r="AC2" s="27" t="s">
        <v>462</v>
      </c>
      <c r="AD2" s="27" t="s">
        <v>2561</v>
      </c>
      <c r="AE2" s="27" t="s">
        <v>463</v>
      </c>
      <c r="AF2" s="27" t="s">
        <v>2569</v>
      </c>
      <c r="AG2" s="27" t="s">
        <v>218</v>
      </c>
      <c r="AH2" s="27" t="s">
        <v>1433</v>
      </c>
      <c r="AI2" s="27" t="s">
        <v>1434</v>
      </c>
      <c r="AJ2" s="27" t="s">
        <v>1435</v>
      </c>
      <c r="AK2" s="27" t="s">
        <v>1436</v>
      </c>
      <c r="AL2" s="27" t="s">
        <v>1437</v>
      </c>
      <c r="AM2" s="27" t="s">
        <v>219</v>
      </c>
      <c r="AN2" s="27" t="s">
        <v>209</v>
      </c>
      <c r="AO2" s="27" t="s">
        <v>607</v>
      </c>
      <c r="AP2" s="27" t="s">
        <v>700</v>
      </c>
      <c r="AQ2" s="27" t="s">
        <v>180</v>
      </c>
      <c r="AR2" s="27" t="s">
        <v>220</v>
      </c>
      <c r="AS2" s="27" t="s">
        <v>464</v>
      </c>
      <c r="AT2" s="27" t="s">
        <v>221</v>
      </c>
      <c r="AU2" s="27" t="s">
        <v>222</v>
      </c>
      <c r="AV2" s="27" t="s">
        <v>909</v>
      </c>
      <c r="AW2" s="27" t="s">
        <v>223</v>
      </c>
      <c r="AX2" s="27" t="s">
        <v>109</v>
      </c>
      <c r="AY2" s="27" t="s">
        <v>123</v>
      </c>
      <c r="AZ2" s="27" t="s">
        <v>224</v>
      </c>
      <c r="BA2" s="27" t="s">
        <v>701</v>
      </c>
      <c r="BB2" s="27" t="s">
        <v>910</v>
      </c>
      <c r="BC2" s="27" t="s">
        <v>225</v>
      </c>
      <c r="BD2" s="27" t="s">
        <v>2562</v>
      </c>
      <c r="BE2" s="27" t="s">
        <v>226</v>
      </c>
      <c r="BF2" s="27" t="s">
        <v>608</v>
      </c>
      <c r="BG2" s="27" t="s">
        <v>609</v>
      </c>
      <c r="BH2" s="27" t="s">
        <v>227</v>
      </c>
      <c r="BI2" s="27" t="s">
        <v>1801</v>
      </c>
      <c r="BJ2" s="27" t="s">
        <v>228</v>
      </c>
      <c r="BK2" s="27" t="s">
        <v>465</v>
      </c>
      <c r="BL2" s="27" t="s">
        <v>911</v>
      </c>
      <c r="BM2" s="27" t="s">
        <v>165</v>
      </c>
      <c r="BN2" s="27" t="s">
        <v>178</v>
      </c>
      <c r="BO2" s="27" t="s">
        <v>182</v>
      </c>
      <c r="BP2" s="27" t="s">
        <v>159</v>
      </c>
      <c r="BQ2" s="27" t="s">
        <v>229</v>
      </c>
      <c r="BR2" s="27" t="s">
        <v>161</v>
      </c>
      <c r="BS2" s="27" t="s">
        <v>702</v>
      </c>
      <c r="BT2" s="27" t="s">
        <v>703</v>
      </c>
      <c r="BU2" s="27" t="s">
        <v>704</v>
      </c>
      <c r="BV2" s="27" t="s">
        <v>912</v>
      </c>
      <c r="BW2" s="27" t="s">
        <v>913</v>
      </c>
      <c r="BX2" s="27" t="s">
        <v>914</v>
      </c>
      <c r="BY2" s="27" t="s">
        <v>915</v>
      </c>
      <c r="BZ2" s="235" t="s">
        <v>1438</v>
      </c>
      <c r="CA2" s="27" t="s">
        <v>705</v>
      </c>
      <c r="CB2" s="27" t="s">
        <v>916</v>
      </c>
      <c r="CC2" s="235" t="s">
        <v>706</v>
      </c>
      <c r="CD2" s="235" t="s">
        <v>707</v>
      </c>
      <c r="CE2" s="235" t="s">
        <v>708</v>
      </c>
      <c r="CF2" s="235" t="s">
        <v>709</v>
      </c>
      <c r="CG2" s="235" t="s">
        <v>1439</v>
      </c>
      <c r="CH2" s="27" t="s">
        <v>1440</v>
      </c>
      <c r="CI2" s="27" t="s">
        <v>1441</v>
      </c>
    </row>
    <row r="3" spans="1:87">
      <c r="A3" s="36">
        <v>41222</v>
      </c>
      <c r="B3" s="28" t="s">
        <v>166</v>
      </c>
      <c r="C3" s="28" t="s">
        <v>166</v>
      </c>
      <c r="D3" s="28" t="s">
        <v>166</v>
      </c>
      <c r="E3" s="2" t="s">
        <v>917</v>
      </c>
      <c r="F3" s="28" t="s">
        <v>166</v>
      </c>
      <c r="G3" s="37" t="s">
        <v>166</v>
      </c>
      <c r="H3" s="28" t="s">
        <v>1802</v>
      </c>
      <c r="I3" s="51" t="s">
        <v>1090</v>
      </c>
      <c r="J3" s="28" t="s">
        <v>714</v>
      </c>
      <c r="K3" s="28" t="s">
        <v>166</v>
      </c>
      <c r="L3" s="28" t="s">
        <v>239</v>
      </c>
      <c r="M3" s="52" t="s">
        <v>166</v>
      </c>
      <c r="N3" s="52" t="s">
        <v>166</v>
      </c>
      <c r="O3" s="52" t="s">
        <v>166</v>
      </c>
      <c r="P3" s="52" t="s">
        <v>166</v>
      </c>
      <c r="Q3" s="37" t="s">
        <v>166</v>
      </c>
      <c r="R3" s="2" t="s">
        <v>1803</v>
      </c>
      <c r="S3" s="38" t="s">
        <v>1804</v>
      </c>
      <c r="T3" t="s">
        <v>166</v>
      </c>
      <c r="U3" s="39" t="s">
        <v>166</v>
      </c>
      <c r="V3" s="37" t="s">
        <v>166</v>
      </c>
      <c r="W3" s="28"/>
      <c r="X3" s="28" t="s">
        <v>12</v>
      </c>
      <c r="Y3" s="28" t="s">
        <v>132</v>
      </c>
      <c r="Z3" s="38" t="s">
        <v>166</v>
      </c>
      <c r="AA3" s="28" t="s">
        <v>240</v>
      </c>
      <c r="AB3" s="28" t="s">
        <v>232</v>
      </c>
      <c r="AC3" s="28" t="s">
        <v>466</v>
      </c>
      <c r="AD3" s="28" t="s">
        <v>920</v>
      </c>
      <c r="AE3" s="28" t="s">
        <v>520</v>
      </c>
      <c r="AF3" s="28" t="s">
        <v>2563</v>
      </c>
      <c r="AG3" s="28" t="s">
        <v>166</v>
      </c>
      <c r="AH3" s="53" t="s">
        <v>166</v>
      </c>
      <c r="AI3" s="54" t="s">
        <v>166</v>
      </c>
      <c r="AJ3" s="55" t="s">
        <v>166</v>
      </c>
      <c r="AK3" s="56" t="s">
        <v>166</v>
      </c>
      <c r="AL3" s="57" t="s">
        <v>166</v>
      </c>
      <c r="AM3" s="58" t="s">
        <v>166</v>
      </c>
      <c r="AN3" s="28" t="s">
        <v>166</v>
      </c>
      <c r="AO3" s="40" t="s">
        <v>636</v>
      </c>
      <c r="AP3" s="40" t="s">
        <v>520</v>
      </c>
      <c r="AQ3" s="28" t="s">
        <v>233</v>
      </c>
      <c r="AR3" s="28">
        <v>45.09</v>
      </c>
      <c r="AS3" s="28" t="s">
        <v>920</v>
      </c>
      <c r="AT3" s="28" t="s">
        <v>1442</v>
      </c>
      <c r="AU3" s="28" t="s">
        <v>235</v>
      </c>
      <c r="AV3" s="28" t="s">
        <v>710</v>
      </c>
      <c r="AW3" s="28" t="s">
        <v>166</v>
      </c>
      <c r="AX3" s="28" t="s">
        <v>157</v>
      </c>
      <c r="AY3" s="28" t="s">
        <v>377</v>
      </c>
      <c r="AZ3" s="28" t="s">
        <v>236</v>
      </c>
      <c r="BA3" s="28" t="s">
        <v>711</v>
      </c>
      <c r="BB3" s="28" t="s">
        <v>701</v>
      </c>
      <c r="BC3" s="28" t="s">
        <v>166</v>
      </c>
      <c r="BD3" s="41"/>
      <c r="BE3" s="41"/>
      <c r="BF3" s="41"/>
      <c r="BG3" s="41" t="s">
        <v>610</v>
      </c>
      <c r="BH3" s="59" t="s">
        <v>1443</v>
      </c>
      <c r="BI3" s="59" t="s">
        <v>1444</v>
      </c>
      <c r="BJ3" s="28" t="s">
        <v>712</v>
      </c>
      <c r="BK3" s="28" t="s">
        <v>467</v>
      </c>
      <c r="BL3" s="28" t="s">
        <v>166</v>
      </c>
      <c r="BM3" s="42" t="s">
        <v>166</v>
      </c>
      <c r="BN3" s="28" t="s">
        <v>2779</v>
      </c>
      <c r="BO3" s="42" t="s">
        <v>184</v>
      </c>
      <c r="BP3" s="28" t="s">
        <v>166</v>
      </c>
      <c r="BQ3" s="2" t="s">
        <v>237</v>
      </c>
      <c r="BR3" s="43" t="s">
        <v>166</v>
      </c>
      <c r="BS3" s="43" t="s">
        <v>166</v>
      </c>
      <c r="BT3" s="32" t="s">
        <v>166</v>
      </c>
      <c r="BU3" t="s">
        <v>166</v>
      </c>
      <c r="BV3" t="s">
        <v>166</v>
      </c>
      <c r="BW3" t="s">
        <v>714</v>
      </c>
      <c r="BX3" t="s">
        <v>714</v>
      </c>
      <c r="BY3" t="s">
        <v>714</v>
      </c>
      <c r="BZ3" s="236" t="s">
        <v>1445</v>
      </c>
      <c r="CA3" t="s">
        <v>715</v>
      </c>
      <c r="CB3">
        <v>1058</v>
      </c>
      <c r="CC3" s="236" t="s">
        <v>716</v>
      </c>
      <c r="CD3" s="236" t="s">
        <v>921</v>
      </c>
      <c r="CE3" s="236" t="s">
        <v>717</v>
      </c>
      <c r="CF3" s="43" t="s">
        <v>166</v>
      </c>
      <c r="CG3" s="43" t="s">
        <v>1805</v>
      </c>
      <c r="CH3" t="s">
        <v>166</v>
      </c>
      <c r="CI3" s="51" t="s">
        <v>1446</v>
      </c>
    </row>
    <row r="4" spans="1:87">
      <c r="A4" s="3"/>
      <c r="B4" s="28" t="s">
        <v>922</v>
      </c>
      <c r="C4" s="28" t="s">
        <v>168</v>
      </c>
      <c r="D4" s="28" t="s">
        <v>238</v>
      </c>
      <c r="E4" s="2" t="s">
        <v>1806</v>
      </c>
      <c r="F4" s="28" t="s">
        <v>2495</v>
      </c>
      <c r="G4" s="44" t="s">
        <v>928</v>
      </c>
      <c r="H4" s="28" t="s">
        <v>1807</v>
      </c>
      <c r="I4" s="51" t="s">
        <v>1100</v>
      </c>
      <c r="J4" s="44" t="s">
        <v>711</v>
      </c>
      <c r="K4" s="44" t="s">
        <v>926</v>
      </c>
      <c r="L4" s="28" t="s">
        <v>251</v>
      </c>
      <c r="M4" s="60" t="s">
        <v>1808</v>
      </c>
      <c r="N4" s="60" t="s">
        <v>1808</v>
      </c>
      <c r="O4" s="60" t="s">
        <v>1808</v>
      </c>
      <c r="P4" s="60" t="s">
        <v>1808</v>
      </c>
      <c r="Q4" s="37" t="s">
        <v>383</v>
      </c>
      <c r="R4" s="2" t="s">
        <v>1809</v>
      </c>
      <c r="S4" s="38" t="s">
        <v>1810</v>
      </c>
      <c r="T4" t="s">
        <v>427</v>
      </c>
      <c r="U4" s="51" t="s">
        <v>1811</v>
      </c>
      <c r="V4" s="44" t="s">
        <v>928</v>
      </c>
      <c r="W4" s="28"/>
      <c r="X4" s="28" t="s">
        <v>13</v>
      </c>
      <c r="Y4" s="28" t="s">
        <v>133</v>
      </c>
      <c r="Z4" s="38" t="s">
        <v>230</v>
      </c>
      <c r="AA4" s="28" t="s">
        <v>231</v>
      </c>
      <c r="AB4" s="28" t="s">
        <v>241</v>
      </c>
      <c r="AC4" s="28" t="s">
        <v>1447</v>
      </c>
      <c r="AD4" s="28" t="s">
        <v>2570</v>
      </c>
      <c r="AE4" s="28" t="s">
        <v>521</v>
      </c>
      <c r="AF4" s="28" t="s">
        <v>2564</v>
      </c>
      <c r="AG4" s="59" t="s">
        <v>1448</v>
      </c>
      <c r="AH4" s="59" t="s">
        <v>1449</v>
      </c>
      <c r="AI4" s="59" t="s">
        <v>1448</v>
      </c>
      <c r="AJ4" s="59" t="s">
        <v>1450</v>
      </c>
      <c r="AK4" s="59" t="s">
        <v>1451</v>
      </c>
      <c r="AL4" s="59" t="s">
        <v>1812</v>
      </c>
      <c r="AM4" s="59" t="s">
        <v>1452</v>
      </c>
      <c r="AN4" s="38" t="s">
        <v>142</v>
      </c>
      <c r="AO4" s="45" t="s">
        <v>637</v>
      </c>
      <c r="AP4" s="40" t="s">
        <v>523</v>
      </c>
      <c r="AQ4" s="28" t="s">
        <v>242</v>
      </c>
      <c r="AR4" s="28">
        <v>45.09</v>
      </c>
      <c r="AS4" s="28" t="s">
        <v>522</v>
      </c>
      <c r="AT4" s="28" t="s">
        <v>2527</v>
      </c>
      <c r="AU4" s="28" t="s">
        <v>244</v>
      </c>
      <c r="AV4" s="28" t="s">
        <v>720</v>
      </c>
      <c r="AW4" s="28" t="s">
        <v>929</v>
      </c>
      <c r="AX4" s="28" t="s">
        <v>611</v>
      </c>
      <c r="AY4" s="28" t="s">
        <v>380</v>
      </c>
      <c r="AZ4" s="28" t="s">
        <v>245</v>
      </c>
      <c r="BA4" s="28" t="s">
        <v>721</v>
      </c>
      <c r="BB4" s="38" t="s">
        <v>930</v>
      </c>
      <c r="BC4" s="28" t="s">
        <v>246</v>
      </c>
      <c r="BD4" s="41"/>
      <c r="BE4" s="41"/>
      <c r="BF4" s="41"/>
      <c r="BG4" s="41" t="s">
        <v>638</v>
      </c>
      <c r="BH4" s="59" t="s">
        <v>1453</v>
      </c>
      <c r="BI4" s="59" t="s">
        <v>1813</v>
      </c>
      <c r="BJ4" s="28" t="s">
        <v>722</v>
      </c>
      <c r="BK4" s="28" t="s">
        <v>469</v>
      </c>
      <c r="BL4" s="28" t="s">
        <v>713</v>
      </c>
      <c r="BM4" s="42" t="s">
        <v>262</v>
      </c>
      <c r="BN4" s="28"/>
      <c r="BO4" s="38" t="s">
        <v>183</v>
      </c>
      <c r="BP4" s="28" t="s">
        <v>649</v>
      </c>
      <c r="BQ4" s="2" t="s">
        <v>248</v>
      </c>
      <c r="BR4" s="43" t="s">
        <v>1814</v>
      </c>
      <c r="BS4" s="28" t="s">
        <v>1454</v>
      </c>
      <c r="BT4" s="2" t="s">
        <v>1815</v>
      </c>
      <c r="BU4" s="51" t="s">
        <v>2528</v>
      </c>
      <c r="BV4" t="s">
        <v>725</v>
      </c>
      <c r="BW4" t="s">
        <v>711</v>
      </c>
      <c r="BX4" t="s">
        <v>711</v>
      </c>
      <c r="BY4" t="s">
        <v>711</v>
      </c>
      <c r="BZ4" s="236" t="s">
        <v>1816</v>
      </c>
      <c r="CA4" t="s">
        <v>726</v>
      </c>
      <c r="CB4" t="s">
        <v>2790</v>
      </c>
      <c r="CC4" s="236" t="s">
        <v>727</v>
      </c>
      <c r="CD4" s="236" t="s">
        <v>933</v>
      </c>
      <c r="CE4" s="236" t="s">
        <v>728</v>
      </c>
      <c r="CF4" s="28" t="s">
        <v>1455</v>
      </c>
      <c r="CG4" s="43" t="s">
        <v>1817</v>
      </c>
      <c r="CH4" s="51" t="s">
        <v>1818</v>
      </c>
      <c r="CI4" s="51" t="s">
        <v>171</v>
      </c>
    </row>
    <row r="5" spans="1:87">
      <c r="A5" s="3"/>
      <c r="B5" s="28" t="s">
        <v>934</v>
      </c>
      <c r="C5" s="28" t="s">
        <v>729</v>
      </c>
      <c r="D5" s="28" t="s">
        <v>250</v>
      </c>
      <c r="E5" s="39" t="s">
        <v>1819</v>
      </c>
      <c r="F5" s="28" t="s">
        <v>2496</v>
      </c>
      <c r="G5" s="44" t="s">
        <v>939</v>
      </c>
      <c r="H5" s="28" t="s">
        <v>1820</v>
      </c>
      <c r="I5" s="60" t="s">
        <v>918</v>
      </c>
      <c r="J5" s="44" t="s">
        <v>166</v>
      </c>
      <c r="K5" s="44" t="s">
        <v>937</v>
      </c>
      <c r="L5" s="28" t="s">
        <v>168</v>
      </c>
      <c r="M5" s="60" t="s">
        <v>1821</v>
      </c>
      <c r="N5" s="60" t="s">
        <v>1821</v>
      </c>
      <c r="O5" s="60" t="s">
        <v>1821</v>
      </c>
      <c r="P5" s="60" t="s">
        <v>1821</v>
      </c>
      <c r="Q5" s="2" t="s">
        <v>639</v>
      </c>
      <c r="R5" s="28" t="s">
        <v>919</v>
      </c>
      <c r="S5" s="38" t="s">
        <v>1822</v>
      </c>
      <c r="T5" s="39" t="s">
        <v>327</v>
      </c>
      <c r="U5" s="51" t="s">
        <v>1823</v>
      </c>
      <c r="V5" s="44" t="s">
        <v>939</v>
      </c>
      <c r="W5" s="28"/>
      <c r="X5" s="28" t="s">
        <v>15</v>
      </c>
      <c r="Y5" s="28" t="s">
        <v>134</v>
      </c>
      <c r="Z5" s="28" t="s">
        <v>1456</v>
      </c>
      <c r="AA5" s="28" t="s">
        <v>1457</v>
      </c>
      <c r="AB5" s="28" t="s">
        <v>253</v>
      </c>
      <c r="AC5" s="28" t="s">
        <v>1458</v>
      </c>
      <c r="AD5" s="28" t="s">
        <v>2571</v>
      </c>
      <c r="AE5" s="28" t="s">
        <v>523</v>
      </c>
      <c r="AF5" s="28" t="s">
        <v>2565</v>
      </c>
      <c r="AG5" s="61" t="s">
        <v>254</v>
      </c>
      <c r="AH5" s="59" t="s">
        <v>1459</v>
      </c>
      <c r="AI5" s="54" t="s">
        <v>254</v>
      </c>
      <c r="AJ5" s="59" t="s">
        <v>1460</v>
      </c>
      <c r="AK5" s="62" t="s">
        <v>1461</v>
      </c>
      <c r="AL5" s="59" t="s">
        <v>1824</v>
      </c>
      <c r="AM5" s="59" t="s">
        <v>1462</v>
      </c>
      <c r="AN5" s="42"/>
      <c r="AO5" s="47" t="s">
        <v>642</v>
      </c>
      <c r="AP5" s="45" t="s">
        <v>553</v>
      </c>
      <c r="AQ5" s="28" t="s">
        <v>256</v>
      </c>
      <c r="AR5" s="28">
        <v>45.09</v>
      </c>
      <c r="AS5" s="28" t="s">
        <v>940</v>
      </c>
      <c r="AT5" s="28" t="s">
        <v>234</v>
      </c>
      <c r="AU5" s="28" t="s">
        <v>525</v>
      </c>
      <c r="AV5" s="28" t="s">
        <v>730</v>
      </c>
      <c r="AW5" s="28" t="s">
        <v>731</v>
      </c>
      <c r="AX5" s="28" t="s">
        <v>1463</v>
      </c>
      <c r="AY5" s="28" t="s">
        <v>385</v>
      </c>
      <c r="AZ5" s="28" t="s">
        <v>259</v>
      </c>
      <c r="BA5" s="28" t="s">
        <v>733</v>
      </c>
      <c r="BB5" s="42" t="s">
        <v>941</v>
      </c>
      <c r="BC5" s="28" t="s">
        <v>260</v>
      </c>
      <c r="BD5" s="39"/>
      <c r="BE5" s="39"/>
      <c r="BF5" s="39"/>
      <c r="BG5" s="39" t="s">
        <v>643</v>
      </c>
      <c r="BH5" s="59" t="s">
        <v>1464</v>
      </c>
      <c r="BI5" s="59"/>
      <c r="BJ5" s="28" t="s">
        <v>734</v>
      </c>
      <c r="BK5" s="28" t="s">
        <v>471</v>
      </c>
      <c r="BL5" s="38" t="s">
        <v>723</v>
      </c>
      <c r="BM5" s="28" t="s">
        <v>273</v>
      </c>
      <c r="BN5" s="28"/>
      <c r="BO5" s="28"/>
      <c r="BP5" s="28" t="s">
        <v>386</v>
      </c>
      <c r="BQ5" s="2" t="s">
        <v>735</v>
      </c>
      <c r="BR5" s="43" t="s">
        <v>931</v>
      </c>
      <c r="BS5" s="28" t="s">
        <v>1465</v>
      </c>
      <c r="BT5" s="2" t="s">
        <v>981</v>
      </c>
      <c r="BU5" t="s">
        <v>932</v>
      </c>
      <c r="BV5" t="s">
        <v>943</v>
      </c>
      <c r="BW5"/>
      <c r="BX5"/>
      <c r="BY5"/>
      <c r="BZ5" s="236" t="s">
        <v>1826</v>
      </c>
      <c r="CA5" t="s">
        <v>737</v>
      </c>
      <c r="CB5"/>
      <c r="CC5" s="236" t="s">
        <v>738</v>
      </c>
      <c r="CD5" s="236" t="s">
        <v>739</v>
      </c>
      <c r="CE5" s="236" t="s">
        <v>740</v>
      </c>
      <c r="CF5" s="28" t="s">
        <v>1466</v>
      </c>
      <c r="CG5" s="43" t="s">
        <v>1827</v>
      </c>
      <c r="CH5" s="51" t="s">
        <v>1828</v>
      </c>
      <c r="CI5" s="51" t="s">
        <v>170</v>
      </c>
    </row>
    <row r="6" spans="1:87">
      <c r="A6" s="3"/>
      <c r="B6" s="28" t="s">
        <v>944</v>
      </c>
      <c r="C6" s="48" t="s">
        <v>1371</v>
      </c>
      <c r="D6" s="48" t="s">
        <v>263</v>
      </c>
      <c r="E6" s="39" t="s">
        <v>1829</v>
      </c>
      <c r="F6" s="28" t="s">
        <v>2529</v>
      </c>
      <c r="G6" s="44" t="s">
        <v>949</v>
      </c>
      <c r="H6" s="28" t="s">
        <v>1830</v>
      </c>
      <c r="I6" s="51" t="s">
        <v>925</v>
      </c>
      <c r="J6" s="44"/>
      <c r="K6" s="44" t="s">
        <v>947</v>
      </c>
      <c r="L6" s="28"/>
      <c r="M6" s="60" t="s">
        <v>1831</v>
      </c>
      <c r="N6" s="60" t="s">
        <v>1831</v>
      </c>
      <c r="O6" s="60" t="s">
        <v>1831</v>
      </c>
      <c r="P6" s="60" t="s">
        <v>1831</v>
      </c>
      <c r="Q6" s="37" t="s">
        <v>379</v>
      </c>
      <c r="R6" s="2" t="s">
        <v>1832</v>
      </c>
      <c r="S6" s="38" t="s">
        <v>1833</v>
      </c>
      <c r="T6" t="s">
        <v>616</v>
      </c>
      <c r="U6" s="51" t="s">
        <v>718</v>
      </c>
      <c r="V6" s="44" t="s">
        <v>949</v>
      </c>
      <c r="W6" s="28"/>
      <c r="X6" s="28" t="s">
        <v>14</v>
      </c>
      <c r="Y6" s="28" t="s">
        <v>612</v>
      </c>
      <c r="Z6" s="28" t="s">
        <v>1467</v>
      </c>
      <c r="AA6" s="28" t="s">
        <v>252</v>
      </c>
      <c r="AB6" s="28" t="s">
        <v>265</v>
      </c>
      <c r="AC6" s="28" t="s">
        <v>1468</v>
      </c>
      <c r="AD6" s="28" t="s">
        <v>2572</v>
      </c>
      <c r="AE6" s="28" t="s">
        <v>526</v>
      </c>
      <c r="AF6" s="2" t="s">
        <v>2573</v>
      </c>
      <c r="AG6" s="62" t="s">
        <v>1469</v>
      </c>
      <c r="AH6" s="59" t="s">
        <v>1470</v>
      </c>
      <c r="AI6" s="54" t="s">
        <v>266</v>
      </c>
      <c r="AJ6" s="55" t="s">
        <v>1471</v>
      </c>
      <c r="AK6" s="62" t="s">
        <v>1472</v>
      </c>
      <c r="AL6" s="59" t="s">
        <v>1834</v>
      </c>
      <c r="AM6" s="59" t="s">
        <v>1473</v>
      </c>
      <c r="AN6" s="28"/>
      <c r="AO6" s="40" t="s">
        <v>645</v>
      </c>
      <c r="AP6" s="40" t="s">
        <v>557</v>
      </c>
      <c r="AQ6" s="28" t="s">
        <v>268</v>
      </c>
      <c r="AR6" s="28">
        <v>45.09</v>
      </c>
      <c r="AS6" s="28" t="s">
        <v>524</v>
      </c>
      <c r="AT6" s="28" t="s">
        <v>243</v>
      </c>
      <c r="AU6" s="28" t="s">
        <v>258</v>
      </c>
      <c r="AV6" s="28" t="s">
        <v>741</v>
      </c>
      <c r="AW6" s="28" t="s">
        <v>322</v>
      </c>
      <c r="AX6" s="28" t="s">
        <v>2497</v>
      </c>
      <c r="AY6" s="28" t="s">
        <v>391</v>
      </c>
      <c r="AZ6" s="28" t="s">
        <v>271</v>
      </c>
      <c r="BA6" s="28" t="s">
        <v>1475</v>
      </c>
      <c r="BB6" s="28"/>
      <c r="BC6" s="28" t="s">
        <v>272</v>
      </c>
      <c r="BD6" s="41"/>
      <c r="BE6" s="41"/>
      <c r="BF6" s="41"/>
      <c r="BG6" s="39" t="s">
        <v>615</v>
      </c>
      <c r="BH6" s="59" t="s">
        <v>1476</v>
      </c>
      <c r="BI6" s="59"/>
      <c r="BJ6" s="28" t="s">
        <v>742</v>
      </c>
      <c r="BK6" s="28" t="s">
        <v>473</v>
      </c>
      <c r="BL6" s="28"/>
      <c r="BM6" s="42" t="s">
        <v>247</v>
      </c>
      <c r="BN6" s="28"/>
      <c r="BO6" s="28"/>
      <c r="BP6" s="28" t="s">
        <v>1477</v>
      </c>
      <c r="BQ6" s="2" t="s">
        <v>274</v>
      </c>
      <c r="BR6" s="43" t="s">
        <v>381</v>
      </c>
      <c r="BS6" s="28" t="s">
        <v>1478</v>
      </c>
      <c r="BT6" s="2" t="s">
        <v>1836</v>
      </c>
      <c r="BU6" s="51" t="s">
        <v>1825</v>
      </c>
      <c r="BV6" t="s">
        <v>171</v>
      </c>
      <c r="BW6"/>
      <c r="BX6"/>
      <c r="BY6"/>
      <c r="BZ6" s="236" t="s">
        <v>1837</v>
      </c>
      <c r="CA6" t="s">
        <v>744</v>
      </c>
      <c r="CB6"/>
      <c r="CC6" s="236" t="s">
        <v>745</v>
      </c>
      <c r="CD6"/>
      <c r="CE6" s="236" t="s">
        <v>746</v>
      </c>
      <c r="CF6" s="28" t="s">
        <v>1479</v>
      </c>
      <c r="CG6" s="43" t="s">
        <v>1838</v>
      </c>
      <c r="CH6" s="51" t="s">
        <v>1839</v>
      </c>
      <c r="CI6" s="51"/>
    </row>
    <row r="7" spans="1:87">
      <c r="A7" s="3"/>
      <c r="B7" s="28" t="s">
        <v>953</v>
      </c>
      <c r="C7" s="38" t="s">
        <v>1372</v>
      </c>
      <c r="D7" s="38" t="s">
        <v>276</v>
      </c>
      <c r="E7" s="2" t="s">
        <v>923</v>
      </c>
      <c r="F7" s="28" t="s">
        <v>924</v>
      </c>
      <c r="G7" s="44" t="s">
        <v>959</v>
      </c>
      <c r="H7" s="28" t="s">
        <v>635</v>
      </c>
      <c r="I7" s="51" t="s">
        <v>936</v>
      </c>
      <c r="J7" s="44"/>
      <c r="K7" s="44" t="s">
        <v>956</v>
      </c>
      <c r="L7" s="28"/>
      <c r="M7" s="60" t="s">
        <v>1840</v>
      </c>
      <c r="N7" s="60" t="s">
        <v>1840</v>
      </c>
      <c r="O7" s="60" t="s">
        <v>1840</v>
      </c>
      <c r="P7" s="60" t="s">
        <v>1840</v>
      </c>
      <c r="Q7" s="2" t="s">
        <v>748</v>
      </c>
      <c r="R7" s="2" t="s">
        <v>1841</v>
      </c>
      <c r="S7" s="38" t="s">
        <v>1842</v>
      </c>
      <c r="T7" t="s">
        <v>333</v>
      </c>
      <c r="U7" t="s">
        <v>284</v>
      </c>
      <c r="V7" s="44" t="s">
        <v>959</v>
      </c>
      <c r="W7" s="28"/>
      <c r="X7" s="28" t="s">
        <v>16</v>
      </c>
      <c r="Y7" s="63" t="s">
        <v>674</v>
      </c>
      <c r="Z7" s="28" t="s">
        <v>2530</v>
      </c>
      <c r="AA7" s="28" t="s">
        <v>264</v>
      </c>
      <c r="AB7" s="28"/>
      <c r="AC7" s="28" t="s">
        <v>719</v>
      </c>
      <c r="AD7" s="28" t="s">
        <v>2574</v>
      </c>
      <c r="AE7" s="28" t="s">
        <v>528</v>
      </c>
      <c r="AF7" s="28" t="s">
        <v>2575</v>
      </c>
      <c r="AG7" s="62" t="s">
        <v>1480</v>
      </c>
      <c r="AH7" s="59" t="s">
        <v>1481</v>
      </c>
      <c r="AI7" s="59" t="s">
        <v>1482</v>
      </c>
      <c r="AJ7" s="55" t="s">
        <v>1844</v>
      </c>
      <c r="AK7" s="62" t="s">
        <v>1483</v>
      </c>
      <c r="AL7" s="59" t="s">
        <v>1484</v>
      </c>
      <c r="AM7" s="59" t="s">
        <v>1485</v>
      </c>
      <c r="AN7" s="28"/>
      <c r="AO7" s="40" t="s">
        <v>648</v>
      </c>
      <c r="AP7" s="40" t="s">
        <v>568</v>
      </c>
      <c r="AQ7" s="28" t="s">
        <v>279</v>
      </c>
      <c r="AR7" s="28">
        <v>45.09</v>
      </c>
      <c r="AS7" s="28" t="s">
        <v>527</v>
      </c>
      <c r="AT7" s="28" t="s">
        <v>1474</v>
      </c>
      <c r="AU7" s="28" t="s">
        <v>270</v>
      </c>
      <c r="AV7" s="28" t="s">
        <v>750</v>
      </c>
      <c r="AW7" s="28" t="s">
        <v>324</v>
      </c>
      <c r="AX7" s="28" t="s">
        <v>2498</v>
      </c>
      <c r="AY7" s="28" t="s">
        <v>395</v>
      </c>
      <c r="AZ7" s="28" t="s">
        <v>1019</v>
      </c>
      <c r="BA7" s="28" t="s">
        <v>951</v>
      </c>
      <c r="BB7" s="28"/>
      <c r="BC7" s="28" t="s">
        <v>282</v>
      </c>
      <c r="BD7" s="39"/>
      <c r="BE7" s="39"/>
      <c r="BF7" s="39"/>
      <c r="BG7" s="41" t="s">
        <v>617</v>
      </c>
      <c r="BH7" s="59" t="s">
        <v>1846</v>
      </c>
      <c r="BI7" s="59"/>
      <c r="BJ7" s="28" t="s">
        <v>752</v>
      </c>
      <c r="BK7" s="28" t="s">
        <v>475</v>
      </c>
      <c r="BL7" s="28"/>
      <c r="BM7" s="42" t="s">
        <v>770</v>
      </c>
      <c r="BN7" s="28"/>
      <c r="BO7" s="28"/>
      <c r="BP7" s="28" t="s">
        <v>392</v>
      </c>
      <c r="BQ7" s="64" t="s">
        <v>753</v>
      </c>
      <c r="BR7" s="43" t="s">
        <v>952</v>
      </c>
      <c r="BS7" s="28" t="s">
        <v>1843</v>
      </c>
      <c r="BT7" s="2" t="s">
        <v>1847</v>
      </c>
      <c r="BU7" s="237" t="s">
        <v>2531</v>
      </c>
      <c r="BV7"/>
      <c r="BW7"/>
      <c r="BX7"/>
      <c r="BY7"/>
      <c r="BZ7" s="236" t="s">
        <v>1848</v>
      </c>
      <c r="CA7" t="s">
        <v>754</v>
      </c>
      <c r="CB7"/>
      <c r="CC7" s="236" t="s">
        <v>755</v>
      </c>
      <c r="CD7"/>
      <c r="CE7" s="236" t="s">
        <v>756</v>
      </c>
      <c r="CF7" s="28" t="s">
        <v>1849</v>
      </c>
      <c r="CG7" s="43" t="s">
        <v>1850</v>
      </c>
      <c r="CH7" s="51" t="s">
        <v>1851</v>
      </c>
      <c r="CI7" s="51"/>
    </row>
    <row r="8" spans="1:87">
      <c r="A8" s="3"/>
      <c r="B8" s="28" t="s">
        <v>962</v>
      </c>
      <c r="C8" s="28" t="s">
        <v>1852</v>
      </c>
      <c r="D8" s="28"/>
      <c r="E8" s="65" t="s">
        <v>1486</v>
      </c>
      <c r="F8" s="28" t="s">
        <v>935</v>
      </c>
      <c r="G8" s="44" t="s">
        <v>968</v>
      </c>
      <c r="H8" s="28" t="s">
        <v>1179</v>
      </c>
      <c r="I8" s="51" t="s">
        <v>946</v>
      </c>
      <c r="J8" s="44"/>
      <c r="K8" s="44" t="s">
        <v>966</v>
      </c>
      <c r="L8" s="28"/>
      <c r="M8" s="60" t="s">
        <v>1853</v>
      </c>
      <c r="N8" s="60" t="s">
        <v>1853</v>
      </c>
      <c r="O8" s="60" t="s">
        <v>1853</v>
      </c>
      <c r="P8" s="60" t="s">
        <v>1853</v>
      </c>
      <c r="Q8" s="28"/>
      <c r="R8" s="2" t="s">
        <v>1276</v>
      </c>
      <c r="S8" s="38" t="s">
        <v>1854</v>
      </c>
      <c r="T8" t="s">
        <v>619</v>
      </c>
      <c r="U8" t="s">
        <v>614</v>
      </c>
      <c r="V8" s="44" t="s">
        <v>968</v>
      </c>
      <c r="W8" s="28"/>
      <c r="X8" s="28" t="s">
        <v>140</v>
      </c>
      <c r="Y8" s="63" t="s">
        <v>676</v>
      </c>
      <c r="Z8" s="28" t="s">
        <v>1843</v>
      </c>
      <c r="AA8" s="28" t="s">
        <v>749</v>
      </c>
      <c r="AB8" s="28"/>
      <c r="AC8" s="28" t="s">
        <v>468</v>
      </c>
      <c r="AD8" s="28" t="s">
        <v>2576</v>
      </c>
      <c r="AE8" s="28" t="s">
        <v>530</v>
      </c>
      <c r="AF8" s="28" t="s">
        <v>2577</v>
      </c>
      <c r="AG8" s="62" t="s">
        <v>291</v>
      </c>
      <c r="AH8" s="53" t="s">
        <v>1488</v>
      </c>
      <c r="AI8" s="54" t="s">
        <v>277</v>
      </c>
      <c r="AJ8" s="55" t="s">
        <v>1489</v>
      </c>
      <c r="AK8" s="62" t="s">
        <v>1490</v>
      </c>
      <c r="AL8" s="59" t="s">
        <v>1491</v>
      </c>
      <c r="AM8" s="59" t="s">
        <v>1492</v>
      </c>
      <c r="AN8" s="28"/>
      <c r="AO8" s="40" t="s">
        <v>653</v>
      </c>
      <c r="AP8" s="40" t="s">
        <v>574</v>
      </c>
      <c r="AQ8" s="28" t="s">
        <v>286</v>
      </c>
      <c r="AR8" s="28" t="s">
        <v>2994</v>
      </c>
      <c r="AS8" s="28" t="s">
        <v>529</v>
      </c>
      <c r="AT8" s="28" t="s">
        <v>257</v>
      </c>
      <c r="AU8" s="28" t="s">
        <v>280</v>
      </c>
      <c r="AV8" s="28"/>
      <c r="AW8" s="28"/>
      <c r="AX8" s="28" t="s">
        <v>1835</v>
      </c>
      <c r="AY8" s="28" t="s">
        <v>399</v>
      </c>
      <c r="AZ8" s="28" t="s">
        <v>281</v>
      </c>
      <c r="BA8" s="28" t="s">
        <v>960</v>
      </c>
      <c r="BB8" s="28"/>
      <c r="BC8" s="28" t="s">
        <v>289</v>
      </c>
      <c r="BD8" s="39"/>
      <c r="BE8" s="39"/>
      <c r="BF8" s="39"/>
      <c r="BG8" s="39" t="s">
        <v>618</v>
      </c>
      <c r="BH8" s="59" t="s">
        <v>261</v>
      </c>
      <c r="BI8" s="59"/>
      <c r="BJ8" s="28" t="s">
        <v>760</v>
      </c>
      <c r="BK8" s="28" t="s">
        <v>477</v>
      </c>
      <c r="BL8" s="28"/>
      <c r="BM8" s="28" t="s">
        <v>779</v>
      </c>
      <c r="BN8" s="28"/>
      <c r="BO8" s="28"/>
      <c r="BP8" s="28" t="s">
        <v>396</v>
      </c>
      <c r="BQ8" s="64" t="s">
        <v>298</v>
      </c>
      <c r="BR8" s="43" t="s">
        <v>378</v>
      </c>
      <c r="BS8" s="28" t="s">
        <v>1855</v>
      </c>
      <c r="BT8" s="2" t="s">
        <v>2532</v>
      </c>
      <c r="BU8" t="s">
        <v>942</v>
      </c>
      <c r="BV8"/>
      <c r="BW8"/>
      <c r="BX8"/>
      <c r="BY8"/>
      <c r="BZ8" s="236" t="s">
        <v>1857</v>
      </c>
      <c r="CA8" s="51" t="s">
        <v>1494</v>
      </c>
      <c r="CB8"/>
      <c r="CC8" s="236" t="s">
        <v>933</v>
      </c>
      <c r="CD8"/>
      <c r="CE8" s="236" t="s">
        <v>972</v>
      </c>
      <c r="CF8" s="28" t="s">
        <v>1858</v>
      </c>
      <c r="CG8" s="43" t="s">
        <v>1859</v>
      </c>
      <c r="CH8" s="51" t="s">
        <v>1860</v>
      </c>
      <c r="CI8" s="51"/>
    </row>
    <row r="9" spans="1:87">
      <c r="A9" s="3"/>
      <c r="B9" s="28" t="s">
        <v>973</v>
      </c>
      <c r="C9" s="28"/>
      <c r="D9" s="28"/>
      <c r="E9" s="2" t="s">
        <v>1861</v>
      </c>
      <c r="F9" s="28" t="s">
        <v>2533</v>
      </c>
      <c r="G9" s="44" t="s">
        <v>979</v>
      </c>
      <c r="H9" s="28" t="s">
        <v>1174</v>
      </c>
      <c r="I9" s="51" t="s">
        <v>955</v>
      </c>
      <c r="J9" s="44"/>
      <c r="K9" s="44" t="s">
        <v>976</v>
      </c>
      <c r="L9" s="28"/>
      <c r="M9" s="60" t="s">
        <v>1862</v>
      </c>
      <c r="N9" s="60" t="s">
        <v>1862</v>
      </c>
      <c r="O9" s="60" t="s">
        <v>1862</v>
      </c>
      <c r="P9" s="60" t="s">
        <v>1862</v>
      </c>
      <c r="Q9" s="28"/>
      <c r="R9" s="2" t="s">
        <v>1863</v>
      </c>
      <c r="S9" s="38" t="s">
        <v>433</v>
      </c>
      <c r="T9" t="s">
        <v>419</v>
      </c>
      <c r="U9" s="51" t="s">
        <v>1864</v>
      </c>
      <c r="V9" s="44" t="s">
        <v>979</v>
      </c>
      <c r="W9" s="28"/>
      <c r="X9" s="28" t="s">
        <v>2499</v>
      </c>
      <c r="Y9" s="63" t="s">
        <v>759</v>
      </c>
      <c r="Z9" s="28" t="s">
        <v>1855</v>
      </c>
      <c r="AA9" s="28" t="s">
        <v>969</v>
      </c>
      <c r="AB9" s="28"/>
      <c r="AC9" s="28" t="s">
        <v>470</v>
      </c>
      <c r="AD9" s="28" t="s">
        <v>2578</v>
      </c>
      <c r="AE9" s="28" t="s">
        <v>532</v>
      </c>
      <c r="AF9" s="2" t="s">
        <v>2579</v>
      </c>
      <c r="AG9" s="62" t="s">
        <v>1495</v>
      </c>
      <c r="AH9" s="59" t="s">
        <v>1496</v>
      </c>
      <c r="AI9" s="59"/>
      <c r="AJ9" s="55" t="s">
        <v>1497</v>
      </c>
      <c r="AK9" s="62" t="s">
        <v>1498</v>
      </c>
      <c r="AL9" s="59" t="s">
        <v>1499</v>
      </c>
      <c r="AM9" s="59" t="s">
        <v>1500</v>
      </c>
      <c r="AN9" s="28"/>
      <c r="AO9" s="40" t="s">
        <v>655</v>
      </c>
      <c r="AP9" s="47" t="s">
        <v>580</v>
      </c>
      <c r="AQ9" s="28" t="s">
        <v>293</v>
      </c>
      <c r="AR9" s="28"/>
      <c r="AS9" s="28" t="s">
        <v>531</v>
      </c>
      <c r="AT9" s="28" t="s">
        <v>269</v>
      </c>
      <c r="AU9" s="28" t="s">
        <v>287</v>
      </c>
      <c r="AV9" s="28"/>
      <c r="AW9" s="28"/>
      <c r="AX9" s="28" t="s">
        <v>1845</v>
      </c>
      <c r="AY9" s="28" t="s">
        <v>402</v>
      </c>
      <c r="AZ9" s="28" t="s">
        <v>288</v>
      </c>
      <c r="BA9" s="28"/>
      <c r="BB9" s="28"/>
      <c r="BC9" s="28" t="s">
        <v>296</v>
      </c>
      <c r="BD9" s="41"/>
      <c r="BE9" s="41"/>
      <c r="BF9" s="41"/>
      <c r="BG9" s="41" t="s">
        <v>1866</v>
      </c>
      <c r="BH9" s="59" t="s">
        <v>1501</v>
      </c>
      <c r="BI9" s="59"/>
      <c r="BJ9" s="28" t="s">
        <v>764</v>
      </c>
      <c r="BK9" s="28" t="s">
        <v>479</v>
      </c>
      <c r="BL9" s="28"/>
      <c r="BM9" s="42" t="s">
        <v>787</v>
      </c>
      <c r="BN9" s="28"/>
      <c r="BO9" s="28"/>
      <c r="BP9" s="28" t="s">
        <v>804</v>
      </c>
      <c r="BQ9" s="64" t="s">
        <v>305</v>
      </c>
      <c r="BR9" s="28" t="s">
        <v>650</v>
      </c>
      <c r="BS9" s="28" t="s">
        <v>2530</v>
      </c>
      <c r="BT9" s="2" t="s">
        <v>1856</v>
      </c>
      <c r="BU9"/>
      <c r="BV9"/>
      <c r="BW9"/>
      <c r="BX9"/>
      <c r="BY9"/>
      <c r="BZ9" s="236"/>
      <c r="CA9"/>
      <c r="CB9"/>
      <c r="CC9" s="236" t="s">
        <v>921</v>
      </c>
      <c r="CD9"/>
      <c r="CE9" s="236" t="s">
        <v>766</v>
      </c>
      <c r="CF9" s="28" t="s">
        <v>2534</v>
      </c>
      <c r="CG9" s="43" t="s">
        <v>1868</v>
      </c>
      <c r="CH9" s="51" t="s">
        <v>1869</v>
      </c>
      <c r="CI9" s="51"/>
    </row>
    <row r="10" spans="1:87">
      <c r="A10" s="3"/>
      <c r="B10" s="28" t="s">
        <v>982</v>
      </c>
      <c r="C10" s="28"/>
      <c r="D10" s="28"/>
      <c r="E10" s="39" t="s">
        <v>1399</v>
      </c>
      <c r="F10" s="28" t="s">
        <v>945</v>
      </c>
      <c r="G10" s="44" t="s">
        <v>988</v>
      </c>
      <c r="H10" s="28" t="s">
        <v>1199</v>
      </c>
      <c r="I10" s="51" t="s">
        <v>965</v>
      </c>
      <c r="J10" s="44"/>
      <c r="K10" s="44" t="s">
        <v>985</v>
      </c>
      <c r="L10" s="28"/>
      <c r="M10" s="60" t="s">
        <v>1870</v>
      </c>
      <c r="N10" s="60" t="s">
        <v>1870</v>
      </c>
      <c r="O10" s="60" t="s">
        <v>1870</v>
      </c>
      <c r="P10" s="60" t="s">
        <v>1870</v>
      </c>
      <c r="Q10" s="28"/>
      <c r="R10" s="2" t="s">
        <v>1871</v>
      </c>
      <c r="S10" s="42" t="s">
        <v>434</v>
      </c>
      <c r="T10" t="s">
        <v>634</v>
      </c>
      <c r="U10" s="51" t="s">
        <v>1872</v>
      </c>
      <c r="V10" s="44" t="s">
        <v>988</v>
      </c>
      <c r="W10" s="28"/>
      <c r="X10" s="28" t="s">
        <v>758</v>
      </c>
      <c r="Y10" s="63" t="s">
        <v>678</v>
      </c>
      <c r="Z10" s="28" t="s">
        <v>1865</v>
      </c>
      <c r="AA10" s="28" t="s">
        <v>763</v>
      </c>
      <c r="AB10" s="28"/>
      <c r="AC10" s="28" t="s">
        <v>472</v>
      </c>
      <c r="AD10" s="28" t="s">
        <v>2580</v>
      </c>
      <c r="AE10" s="28" t="s">
        <v>534</v>
      </c>
      <c r="AF10" s="28" t="s">
        <v>2581</v>
      </c>
      <c r="AG10" s="62" t="s">
        <v>300</v>
      </c>
      <c r="AH10" s="53" t="s">
        <v>1504</v>
      </c>
      <c r="AI10" s="28"/>
      <c r="AJ10" s="55" t="s">
        <v>1505</v>
      </c>
      <c r="AK10" s="62" t="s">
        <v>1874</v>
      </c>
      <c r="AL10" s="59" t="s">
        <v>1506</v>
      </c>
      <c r="AM10" s="58" t="s">
        <v>641</v>
      </c>
      <c r="AN10" s="28"/>
      <c r="AO10" s="40" t="s">
        <v>657</v>
      </c>
      <c r="AP10" s="40" t="s">
        <v>582</v>
      </c>
      <c r="AQ10" s="28" t="s">
        <v>301</v>
      </c>
      <c r="AR10" s="28"/>
      <c r="AS10" s="28" t="s">
        <v>990</v>
      </c>
      <c r="AT10" s="28"/>
      <c r="AU10" s="28" t="s">
        <v>536</v>
      </c>
      <c r="AV10" s="28"/>
      <c r="AW10" s="28"/>
      <c r="AX10" s="28" t="s">
        <v>1493</v>
      </c>
      <c r="AY10" s="28" t="s">
        <v>405</v>
      </c>
      <c r="AZ10" s="28" t="s">
        <v>295</v>
      </c>
      <c r="BA10" s="28"/>
      <c r="BB10" s="28"/>
      <c r="BC10" s="28" t="s">
        <v>304</v>
      </c>
      <c r="BD10" s="39"/>
      <c r="BE10" s="39"/>
      <c r="BF10" s="39"/>
      <c r="BG10" s="39" t="s">
        <v>1507</v>
      </c>
      <c r="BH10" s="59" t="s">
        <v>1508</v>
      </c>
      <c r="BI10" s="59"/>
      <c r="BJ10" s="28" t="s">
        <v>769</v>
      </c>
      <c r="BK10" s="28" t="s">
        <v>481</v>
      </c>
      <c r="BL10" s="28"/>
      <c r="BM10" s="42" t="s">
        <v>290</v>
      </c>
      <c r="BN10" s="28"/>
      <c r="BO10" s="28"/>
      <c r="BP10" s="28" t="s">
        <v>1509</v>
      </c>
      <c r="BQ10" s="64" t="s">
        <v>771</v>
      </c>
      <c r="BR10" s="28" t="s">
        <v>387</v>
      </c>
      <c r="BS10" s="43" t="s">
        <v>388</v>
      </c>
      <c r="BT10" s="2" t="s">
        <v>1867</v>
      </c>
      <c r="BU10"/>
      <c r="BV10"/>
      <c r="BW10"/>
      <c r="BX10"/>
      <c r="BY10"/>
      <c r="BZ10"/>
      <c r="CA10"/>
      <c r="CB10"/>
      <c r="CC10" s="236" t="s">
        <v>994</v>
      </c>
      <c r="CD10"/>
      <c r="CE10"/>
      <c r="CF10" s="43" t="s">
        <v>1502</v>
      </c>
      <c r="CG10" s="43" t="s">
        <v>1878</v>
      </c>
      <c r="CH10"/>
      <c r="CI10"/>
    </row>
    <row r="11" spans="1:87">
      <c r="A11" s="3"/>
      <c r="B11" s="28" t="s">
        <v>995</v>
      </c>
      <c r="C11" s="28"/>
      <c r="D11" s="28"/>
      <c r="E11" s="2" t="s">
        <v>1879</v>
      </c>
      <c r="F11" s="28" t="s">
        <v>974</v>
      </c>
      <c r="G11" s="44" t="s">
        <v>1002</v>
      </c>
      <c r="H11" s="28" t="s">
        <v>1115</v>
      </c>
      <c r="I11" s="51" t="s">
        <v>975</v>
      </c>
      <c r="J11" s="44"/>
      <c r="K11" s="44" t="s">
        <v>773</v>
      </c>
      <c r="L11" s="28"/>
      <c r="M11" s="60" t="s">
        <v>1880</v>
      </c>
      <c r="N11" s="60" t="s">
        <v>1880</v>
      </c>
      <c r="O11" s="60" t="s">
        <v>1880</v>
      </c>
      <c r="P11" s="60" t="s">
        <v>1880</v>
      </c>
      <c r="Q11" s="28"/>
      <c r="R11" s="2" t="s">
        <v>1881</v>
      </c>
      <c r="S11" s="39" t="s">
        <v>640</v>
      </c>
      <c r="T11" t="s">
        <v>1000</v>
      </c>
      <c r="U11" s="51" t="s">
        <v>1882</v>
      </c>
      <c r="V11" s="44" t="s">
        <v>1002</v>
      </c>
      <c r="W11" s="28"/>
      <c r="X11" s="28" t="s">
        <v>762</v>
      </c>
      <c r="Y11" s="63" t="s">
        <v>680</v>
      </c>
      <c r="Z11" s="28" t="s">
        <v>1873</v>
      </c>
      <c r="AA11" s="28" t="s">
        <v>2535</v>
      </c>
      <c r="AB11" s="28"/>
      <c r="AC11" s="28" t="s">
        <v>474</v>
      </c>
      <c r="AD11" s="28" t="s">
        <v>2582</v>
      </c>
      <c r="AE11" s="28" t="s">
        <v>538</v>
      </c>
      <c r="AF11" s="28" t="s">
        <v>2583</v>
      </c>
      <c r="AG11" s="62" t="s">
        <v>307</v>
      </c>
      <c r="AH11" s="59" t="s">
        <v>1510</v>
      </c>
      <c r="AI11" s="28"/>
      <c r="AJ11" s="55" t="s">
        <v>1511</v>
      </c>
      <c r="AK11" s="66" t="s">
        <v>626</v>
      </c>
      <c r="AL11" s="59" t="s">
        <v>1512</v>
      </c>
      <c r="AM11" s="58" t="s">
        <v>644</v>
      </c>
      <c r="AN11" s="28"/>
      <c r="AO11" s="40" t="s">
        <v>659</v>
      </c>
      <c r="AP11" s="40" t="s">
        <v>583</v>
      </c>
      <c r="AQ11" s="28" t="s">
        <v>308</v>
      </c>
      <c r="AR11" s="28"/>
      <c r="AS11" s="28" t="s">
        <v>1004</v>
      </c>
      <c r="AT11" s="28"/>
      <c r="AU11" s="28" t="s">
        <v>294</v>
      </c>
      <c r="AV11" s="28"/>
      <c r="AW11" s="28"/>
      <c r="AX11" s="2" t="s">
        <v>1388</v>
      </c>
      <c r="AY11" s="28" t="s">
        <v>408</v>
      </c>
      <c r="AZ11" s="28" t="s">
        <v>303</v>
      </c>
      <c r="BA11" s="28"/>
      <c r="BB11" s="28"/>
      <c r="BC11" s="28" t="s">
        <v>777</v>
      </c>
      <c r="BD11" s="39"/>
      <c r="BE11" s="39"/>
      <c r="BF11" s="39"/>
      <c r="BG11" s="39" t="s">
        <v>1514</v>
      </c>
      <c r="BH11" s="59" t="s">
        <v>1515</v>
      </c>
      <c r="BI11" s="59"/>
      <c r="BJ11" s="28" t="s">
        <v>778</v>
      </c>
      <c r="BK11" s="28" t="s">
        <v>484</v>
      </c>
      <c r="BL11" s="28"/>
      <c r="BM11" s="28" t="s">
        <v>297</v>
      </c>
      <c r="BN11" s="28"/>
      <c r="BO11" s="28"/>
      <c r="BP11" s="28" t="s">
        <v>1516</v>
      </c>
      <c r="BQ11" s="28" t="s">
        <v>1517</v>
      </c>
      <c r="BR11" s="28" t="s">
        <v>1043</v>
      </c>
      <c r="BS11" s="28" t="s">
        <v>1875</v>
      </c>
      <c r="BT11" s="2" t="s">
        <v>1876</v>
      </c>
      <c r="BU11"/>
      <c r="BV11"/>
      <c r="BW11"/>
      <c r="BX11"/>
      <c r="BY11"/>
      <c r="BZ11"/>
      <c r="CA11"/>
      <c r="CB11"/>
      <c r="CC11" s="236" t="s">
        <v>1006</v>
      </c>
      <c r="CD11"/>
      <c r="CE11"/>
      <c r="CF11" s="28" t="s">
        <v>1877</v>
      </c>
      <c r="CG11" s="43" t="s">
        <v>1886</v>
      </c>
      <c r="CH11"/>
      <c r="CI11"/>
    </row>
    <row r="12" spans="1:87">
      <c r="A12" s="3"/>
      <c r="B12" s="28" t="s">
        <v>1007</v>
      </c>
      <c r="C12" s="28"/>
      <c r="D12" s="28"/>
      <c r="E12" s="2" t="s">
        <v>1887</v>
      </c>
      <c r="F12" s="28" t="s">
        <v>747</v>
      </c>
      <c r="G12" s="44" t="s">
        <v>1016</v>
      </c>
      <c r="H12" s="28" t="s">
        <v>1888</v>
      </c>
      <c r="I12" s="51" t="s">
        <v>984</v>
      </c>
      <c r="J12" s="44"/>
      <c r="K12" s="44" t="s">
        <v>1011</v>
      </c>
      <c r="L12" s="28"/>
      <c r="M12" s="51" t="s">
        <v>927</v>
      </c>
      <c r="N12" s="51" t="s">
        <v>927</v>
      </c>
      <c r="O12" s="51" t="s">
        <v>927</v>
      </c>
      <c r="P12" s="51" t="s">
        <v>927</v>
      </c>
      <c r="Q12" s="28"/>
      <c r="R12" s="2" t="s">
        <v>1889</v>
      </c>
      <c r="S12" s="50" t="s">
        <v>1103</v>
      </c>
      <c r="T12" t="s">
        <v>1014</v>
      </c>
      <c r="U12" t="s">
        <v>427</v>
      </c>
      <c r="V12" s="44" t="s">
        <v>1016</v>
      </c>
      <c r="W12" s="28"/>
      <c r="X12" s="28" t="s">
        <v>768</v>
      </c>
      <c r="Y12" s="63" t="s">
        <v>2500</v>
      </c>
      <c r="Z12" s="28" t="s">
        <v>1883</v>
      </c>
      <c r="AA12" s="28" t="s">
        <v>989</v>
      </c>
      <c r="AB12" s="28"/>
      <c r="AC12" s="28" t="s">
        <v>476</v>
      </c>
      <c r="AD12" s="28" t="s">
        <v>2584</v>
      </c>
      <c r="AE12" s="28" t="s">
        <v>541</v>
      </c>
      <c r="AF12" s="28" t="s">
        <v>2585</v>
      </c>
      <c r="AG12" s="67" t="s">
        <v>1518</v>
      </c>
      <c r="AH12" s="28"/>
      <c r="AI12" s="28"/>
      <c r="AJ12" s="55" t="s">
        <v>1519</v>
      </c>
      <c r="AK12" s="66" t="s">
        <v>662</v>
      </c>
      <c r="AL12" s="59" t="s">
        <v>1520</v>
      </c>
      <c r="AM12" s="58" t="s">
        <v>647</v>
      </c>
      <c r="AN12" s="28"/>
      <c r="AO12" s="40" t="s">
        <v>661</v>
      </c>
      <c r="AP12" s="40" t="s">
        <v>584</v>
      </c>
      <c r="AQ12" s="28" t="s">
        <v>313</v>
      </c>
      <c r="AR12" s="28"/>
      <c r="AS12" s="28" t="s">
        <v>1018</v>
      </c>
      <c r="AT12" s="28"/>
      <c r="AU12" s="28" t="s">
        <v>302</v>
      </c>
      <c r="AV12" s="28"/>
      <c r="AW12" s="28"/>
      <c r="AX12" s="2" t="s">
        <v>732</v>
      </c>
      <c r="AY12" s="28" t="s">
        <v>411</v>
      </c>
      <c r="AZ12" s="28" t="s">
        <v>310</v>
      </c>
      <c r="BA12" s="28"/>
      <c r="BB12" s="28"/>
      <c r="BC12" s="28" t="s">
        <v>785</v>
      </c>
      <c r="BD12" s="39"/>
      <c r="BE12" s="39"/>
      <c r="BF12" s="39"/>
      <c r="BG12" s="39" t="s">
        <v>1522</v>
      </c>
      <c r="BH12" s="59" t="s">
        <v>1523</v>
      </c>
      <c r="BI12" s="59"/>
      <c r="BJ12" s="28" t="s">
        <v>786</v>
      </c>
      <c r="BK12" s="28" t="s">
        <v>486</v>
      </c>
      <c r="BL12" s="28"/>
      <c r="BM12" s="42" t="s">
        <v>283</v>
      </c>
      <c r="BN12" s="28"/>
      <c r="BO12" s="28"/>
      <c r="BP12" s="28" t="s">
        <v>1524</v>
      </c>
      <c r="BQ12" s="28"/>
      <c r="BR12" s="28" t="s">
        <v>1891</v>
      </c>
      <c r="BS12" s="28" t="s">
        <v>1884</v>
      </c>
      <c r="BT12" s="2" t="s">
        <v>961</v>
      </c>
      <c r="BU12"/>
      <c r="BV12"/>
      <c r="BW12"/>
      <c r="BX12"/>
      <c r="BY12"/>
      <c r="BZ12"/>
      <c r="CA12"/>
      <c r="CB12"/>
      <c r="CC12" s="236" t="s">
        <v>1020</v>
      </c>
      <c r="CD12"/>
      <c r="CE12"/>
      <c r="CF12" s="28" t="s">
        <v>1885</v>
      </c>
      <c r="CG12" s="43" t="s">
        <v>1892</v>
      </c>
      <c r="CH12"/>
      <c r="CI12"/>
    </row>
    <row r="13" spans="1:87">
      <c r="A13" s="3"/>
      <c r="B13" s="28" t="s">
        <v>1021</v>
      </c>
      <c r="C13" s="28"/>
      <c r="D13" s="28"/>
      <c r="E13" s="2" t="s">
        <v>1893</v>
      </c>
      <c r="F13" s="28" t="s">
        <v>1487</v>
      </c>
      <c r="G13" s="44" t="s">
        <v>1030</v>
      </c>
      <c r="H13" s="28" t="s">
        <v>1894</v>
      </c>
      <c r="I13" s="51" t="s">
        <v>997</v>
      </c>
      <c r="J13" s="44"/>
      <c r="K13" s="44" t="s">
        <v>1024</v>
      </c>
      <c r="L13" s="28"/>
      <c r="M13" s="51" t="s">
        <v>938</v>
      </c>
      <c r="N13" s="51" t="s">
        <v>938</v>
      </c>
      <c r="O13" s="51" t="s">
        <v>938</v>
      </c>
      <c r="P13" s="51" t="s">
        <v>938</v>
      </c>
      <c r="Q13" s="28"/>
      <c r="R13" s="2" t="s">
        <v>1895</v>
      </c>
      <c r="S13" s="28" t="s">
        <v>1124</v>
      </c>
      <c r="T13" s="28" t="s">
        <v>1028</v>
      </c>
      <c r="U13" s="51" t="s">
        <v>1896</v>
      </c>
      <c r="V13" s="44" t="s">
        <v>1030</v>
      </c>
      <c r="W13" s="28"/>
      <c r="X13" s="28" t="s">
        <v>774</v>
      </c>
      <c r="Y13" s="63" t="s">
        <v>2501</v>
      </c>
      <c r="Z13" s="28" t="s">
        <v>1890</v>
      </c>
      <c r="AA13" s="28" t="s">
        <v>1003</v>
      </c>
      <c r="AB13" s="28"/>
      <c r="AC13" s="28" t="s">
        <v>2</v>
      </c>
      <c r="AD13" s="28" t="s">
        <v>2586</v>
      </c>
      <c r="AE13" s="28" t="s">
        <v>543</v>
      </c>
      <c r="AF13" s="2" t="s">
        <v>2587</v>
      </c>
      <c r="AG13" s="62" t="s">
        <v>1284</v>
      </c>
      <c r="AH13" s="28"/>
      <c r="AI13" s="28"/>
      <c r="AJ13" s="55" t="s">
        <v>343</v>
      </c>
      <c r="AK13" s="28"/>
      <c r="AL13" s="59" t="s">
        <v>1527</v>
      </c>
      <c r="AM13" s="58" t="s">
        <v>255</v>
      </c>
      <c r="AN13" s="28"/>
      <c r="AO13" s="40" t="s">
        <v>661</v>
      </c>
      <c r="AP13" s="40" t="s">
        <v>590</v>
      </c>
      <c r="AQ13" s="28" t="s">
        <v>317</v>
      </c>
      <c r="AR13" s="28"/>
      <c r="AS13" s="28" t="s">
        <v>1032</v>
      </c>
      <c r="AT13" s="28"/>
      <c r="AU13" s="28" t="s">
        <v>309</v>
      </c>
      <c r="AV13" s="28"/>
      <c r="AW13" s="28"/>
      <c r="AX13" s="2" t="s">
        <v>1513</v>
      </c>
      <c r="AY13" s="28" t="s">
        <v>413</v>
      </c>
      <c r="AZ13" s="28"/>
      <c r="BA13" s="28"/>
      <c r="BB13" s="28"/>
      <c r="BC13" s="28" t="s">
        <v>791</v>
      </c>
      <c r="BD13" s="39"/>
      <c r="BE13" s="39"/>
      <c r="BF13" s="39"/>
      <c r="BG13" s="39"/>
      <c r="BH13" s="68" t="s">
        <v>802</v>
      </c>
      <c r="BI13" s="68"/>
      <c r="BJ13" s="28" t="s">
        <v>792</v>
      </c>
      <c r="BK13" s="28"/>
      <c r="BL13" s="28"/>
      <c r="BM13" s="28"/>
      <c r="BN13" s="28"/>
      <c r="BO13" s="28"/>
      <c r="BP13" s="28" t="s">
        <v>970</v>
      </c>
      <c r="BQ13" s="28"/>
      <c r="BR13" s="28" t="s">
        <v>1528</v>
      </c>
      <c r="BS13" s="43" t="s">
        <v>275</v>
      </c>
      <c r="BT13" s="2" t="s">
        <v>971</v>
      </c>
      <c r="BU13"/>
      <c r="BV13"/>
      <c r="BW13"/>
      <c r="BX13"/>
      <c r="BY13"/>
      <c r="BZ13"/>
      <c r="CA13"/>
      <c r="CB13"/>
      <c r="CC13" s="236" t="s">
        <v>1033</v>
      </c>
      <c r="CD13"/>
      <c r="CE13"/>
      <c r="CF13" s="43" t="s">
        <v>1525</v>
      </c>
      <c r="CG13" s="28"/>
      <c r="CH13"/>
      <c r="CI13"/>
    </row>
    <row r="14" spans="1:87">
      <c r="A14" s="3"/>
      <c r="B14" s="28" t="s">
        <v>1034</v>
      </c>
      <c r="C14" s="28"/>
      <c r="D14" s="28"/>
      <c r="E14" s="2" t="s">
        <v>1899</v>
      </c>
      <c r="F14" s="28" t="s">
        <v>757</v>
      </c>
      <c r="G14" s="44" t="s">
        <v>1900</v>
      </c>
      <c r="H14" s="28" t="s">
        <v>1901</v>
      </c>
      <c r="I14" s="51" t="s">
        <v>1010</v>
      </c>
      <c r="J14" s="44"/>
      <c r="K14" s="44" t="s">
        <v>794</v>
      </c>
      <c r="L14" s="28"/>
      <c r="M14" s="51" t="s">
        <v>948</v>
      </c>
      <c r="N14" s="51" t="s">
        <v>948</v>
      </c>
      <c r="O14" s="51" t="s">
        <v>948</v>
      </c>
      <c r="P14" s="51" t="s">
        <v>948</v>
      </c>
      <c r="Q14" s="28"/>
      <c r="R14" s="2" t="s">
        <v>1902</v>
      </c>
      <c r="S14" s="39" t="s">
        <v>537</v>
      </c>
      <c r="T14" s="48" t="s">
        <v>1040</v>
      </c>
      <c r="U14" t="s">
        <v>978</v>
      </c>
      <c r="V14" s="44" t="s">
        <v>1900</v>
      </c>
      <c r="W14" s="28"/>
      <c r="X14" s="28" t="s">
        <v>782</v>
      </c>
      <c r="Y14" s="63" t="s">
        <v>2317</v>
      </c>
      <c r="Z14" s="28" t="s">
        <v>1897</v>
      </c>
      <c r="AA14" s="28" t="s">
        <v>1017</v>
      </c>
      <c r="AB14" s="28"/>
      <c r="AC14" s="28" t="s">
        <v>775</v>
      </c>
      <c r="AD14" s="28" t="s">
        <v>2588</v>
      </c>
      <c r="AE14" s="28" t="s">
        <v>545</v>
      </c>
      <c r="AF14" s="28" t="s">
        <v>2589</v>
      </c>
      <c r="AG14" s="62" t="s">
        <v>1461</v>
      </c>
      <c r="AH14" s="28"/>
      <c r="AI14" s="28"/>
      <c r="AJ14" s="55" t="s">
        <v>1531</v>
      </c>
      <c r="AK14" s="28"/>
      <c r="AL14" s="59" t="s">
        <v>1532</v>
      </c>
      <c r="AM14" s="58" t="s">
        <v>267</v>
      </c>
      <c r="AN14" s="28"/>
      <c r="AO14" s="40" t="s">
        <v>661</v>
      </c>
      <c r="AP14" s="40" t="s">
        <v>601</v>
      </c>
      <c r="AQ14" s="28" t="s">
        <v>320</v>
      </c>
      <c r="AR14" s="28"/>
      <c r="AS14" s="28" t="s">
        <v>1042</v>
      </c>
      <c r="AT14" s="28"/>
      <c r="AU14" s="28" t="s">
        <v>314</v>
      </c>
      <c r="AV14" s="28"/>
      <c r="AW14" s="28"/>
      <c r="AX14" s="2" t="s">
        <v>1521</v>
      </c>
      <c r="AY14" s="28" t="s">
        <v>415</v>
      </c>
      <c r="AZ14" s="28"/>
      <c r="BA14" s="28"/>
      <c r="BB14" s="28"/>
      <c r="BC14" s="28" t="s">
        <v>796</v>
      </c>
      <c r="BD14" s="39"/>
      <c r="BE14" s="39"/>
      <c r="BF14" s="39"/>
      <c r="BG14" s="39"/>
      <c r="BH14" s="68" t="s">
        <v>1904</v>
      </c>
      <c r="BI14" s="68"/>
      <c r="BJ14" s="28" t="s">
        <v>797</v>
      </c>
      <c r="BK14" s="28"/>
      <c r="BL14" s="28"/>
      <c r="BM14" s="28"/>
      <c r="BN14" s="28"/>
      <c r="BO14" s="28"/>
      <c r="BP14" s="28" t="s">
        <v>980</v>
      </c>
      <c r="BQ14" s="28"/>
      <c r="BR14" s="28" t="s">
        <v>780</v>
      </c>
      <c r="BS14" s="43" t="s">
        <v>2536</v>
      </c>
      <c r="BT14" s="2" t="s">
        <v>1898</v>
      </c>
      <c r="BU14"/>
      <c r="BV14"/>
      <c r="BW14"/>
      <c r="BX14"/>
      <c r="BY14"/>
      <c r="BZ14"/>
      <c r="CA14"/>
      <c r="CB14"/>
      <c r="CC14" s="236" t="s">
        <v>1044</v>
      </c>
      <c r="CD14"/>
      <c r="CE14"/>
      <c r="CF14" s="43" t="s">
        <v>2537</v>
      </c>
      <c r="CG14" s="43"/>
      <c r="CH14"/>
      <c r="CI14"/>
    </row>
    <row r="15" spans="1:87">
      <c r="A15" s="3"/>
      <c r="B15" s="28" t="s">
        <v>1045</v>
      </c>
      <c r="C15" s="28"/>
      <c r="D15" s="28"/>
      <c r="E15" s="39" t="s">
        <v>954</v>
      </c>
      <c r="F15" s="28" t="s">
        <v>1503</v>
      </c>
      <c r="G15" s="44" t="s">
        <v>1057</v>
      </c>
      <c r="H15" s="39" t="s">
        <v>1906</v>
      </c>
      <c r="I15" s="51" t="s">
        <v>1023</v>
      </c>
      <c r="J15" s="42"/>
      <c r="K15" s="42" t="s">
        <v>1049</v>
      </c>
      <c r="L15" s="28"/>
      <c r="M15" s="51" t="s">
        <v>1907</v>
      </c>
      <c r="N15" s="51" t="s">
        <v>1907</v>
      </c>
      <c r="O15" s="51" t="s">
        <v>1907</v>
      </c>
      <c r="P15" s="51" t="s">
        <v>1907</v>
      </c>
      <c r="Q15" s="28"/>
      <c r="R15" s="2" t="s">
        <v>1908</v>
      </c>
      <c r="S15" s="39" t="s">
        <v>540</v>
      </c>
      <c r="T15"/>
      <c r="U15" s="51" t="s">
        <v>1909</v>
      </c>
      <c r="V15" s="44" t="s">
        <v>1057</v>
      </c>
      <c r="W15" s="28"/>
      <c r="X15" s="28" t="s">
        <v>789</v>
      </c>
      <c r="Y15" s="63" t="s">
        <v>1530</v>
      </c>
      <c r="Z15" s="28" t="s">
        <v>1903</v>
      </c>
      <c r="AA15" s="28" t="s">
        <v>1031</v>
      </c>
      <c r="AB15" s="28"/>
      <c r="AC15" s="28" t="s">
        <v>783</v>
      </c>
      <c r="AD15" s="28" t="s">
        <v>2590</v>
      </c>
      <c r="AE15" s="28" t="s">
        <v>547</v>
      </c>
      <c r="AF15" s="2" t="s">
        <v>2591</v>
      </c>
      <c r="AG15" s="62" t="s">
        <v>1490</v>
      </c>
      <c r="AH15" s="28"/>
      <c r="AI15" s="28"/>
      <c r="AJ15" s="55" t="s">
        <v>1535</v>
      </c>
      <c r="AK15" s="28"/>
      <c r="AL15" s="59" t="s">
        <v>1536</v>
      </c>
      <c r="AM15" s="58" t="s">
        <v>278</v>
      </c>
      <c r="AN15" s="28"/>
      <c r="AO15" s="40" t="s">
        <v>661</v>
      </c>
      <c r="AP15" s="40" t="s">
        <v>661</v>
      </c>
      <c r="AQ15" s="28" t="s">
        <v>323</v>
      </c>
      <c r="AR15" s="28"/>
      <c r="AS15" s="28" t="s">
        <v>533</v>
      </c>
      <c r="AT15" s="28"/>
      <c r="AU15" s="28" t="s">
        <v>318</v>
      </c>
      <c r="AV15" s="28"/>
      <c r="AW15" s="28"/>
      <c r="AX15" s="2" t="s">
        <v>950</v>
      </c>
      <c r="AY15" s="28"/>
      <c r="AZ15" s="28"/>
      <c r="BA15" s="28"/>
      <c r="BB15" s="28"/>
      <c r="BC15" s="28" t="s">
        <v>2502</v>
      </c>
      <c r="BD15" s="39"/>
      <c r="BE15" s="39"/>
      <c r="BF15" s="39"/>
      <c r="BG15" s="39"/>
      <c r="BH15" s="59" t="s">
        <v>1538</v>
      </c>
      <c r="BI15" s="59"/>
      <c r="BJ15" s="28" t="s">
        <v>799</v>
      </c>
      <c r="BK15" s="28"/>
      <c r="BL15" s="28"/>
      <c r="BM15" s="28"/>
      <c r="BN15" s="28"/>
      <c r="BO15" s="28"/>
      <c r="BP15" s="28" t="s">
        <v>992</v>
      </c>
      <c r="BQ15" s="28"/>
      <c r="BR15" s="28" t="s">
        <v>788</v>
      </c>
      <c r="BS15" s="43" t="s">
        <v>623</v>
      </c>
      <c r="BT15" s="2" t="s">
        <v>1905</v>
      </c>
      <c r="BU15"/>
      <c r="BV15"/>
      <c r="BW15"/>
      <c r="BX15"/>
      <c r="BY15"/>
      <c r="BZ15"/>
      <c r="CA15"/>
      <c r="CB15"/>
      <c r="CC15" s="236" t="s">
        <v>1055</v>
      </c>
      <c r="CD15"/>
      <c r="CE15"/>
      <c r="CF15" s="43" t="s">
        <v>1529</v>
      </c>
      <c r="CG15" s="28"/>
      <c r="CH15"/>
      <c r="CI15"/>
    </row>
    <row r="16" spans="1:87">
      <c r="A16" s="3"/>
      <c r="B16" s="39"/>
      <c r="C16" s="28"/>
      <c r="D16" s="28"/>
      <c r="E16" s="39" t="s">
        <v>963</v>
      </c>
      <c r="F16" s="28" t="s">
        <v>772</v>
      </c>
      <c r="G16" s="44" t="s">
        <v>1911</v>
      </c>
      <c r="H16" s="39" t="s">
        <v>389</v>
      </c>
      <c r="I16" s="51" t="s">
        <v>1036</v>
      </c>
      <c r="J16" s="42"/>
      <c r="K16" s="42" t="s">
        <v>1059</v>
      </c>
      <c r="L16" s="28"/>
      <c r="M16" s="51" t="s">
        <v>1912</v>
      </c>
      <c r="N16" s="51" t="s">
        <v>1912</v>
      </c>
      <c r="O16" s="51" t="s">
        <v>1912</v>
      </c>
      <c r="P16" s="51" t="s">
        <v>1912</v>
      </c>
      <c r="Q16" s="28"/>
      <c r="R16" s="2" t="s">
        <v>1913</v>
      </c>
      <c r="S16" s="39" t="s">
        <v>1094</v>
      </c>
      <c r="T16"/>
      <c r="U16" t="s">
        <v>987</v>
      </c>
      <c r="V16" s="44" t="s">
        <v>1911</v>
      </c>
      <c r="W16" s="28"/>
      <c r="X16" s="28" t="s">
        <v>2503</v>
      </c>
      <c r="Y16" s="63" t="s">
        <v>1425</v>
      </c>
      <c r="Z16" s="28" t="s">
        <v>1910</v>
      </c>
      <c r="AA16" s="28" t="s">
        <v>795</v>
      </c>
      <c r="AB16" s="28"/>
      <c r="AC16" s="28" t="s">
        <v>480</v>
      </c>
      <c r="AD16" s="28" t="s">
        <v>2592</v>
      </c>
      <c r="AE16" s="28" t="s">
        <v>549</v>
      </c>
      <c r="AF16" s="28" t="s">
        <v>2593</v>
      </c>
      <c r="AG16" s="66" t="s">
        <v>626</v>
      </c>
      <c r="AH16" s="28"/>
      <c r="AI16" s="28"/>
      <c r="AJ16" s="55" t="s">
        <v>1541</v>
      </c>
      <c r="AK16" s="28"/>
      <c r="AL16" s="59" t="s">
        <v>1542</v>
      </c>
      <c r="AM16" s="58" t="s">
        <v>285</v>
      </c>
      <c r="AN16" s="28"/>
      <c r="AO16" s="40" t="s">
        <v>661</v>
      </c>
      <c r="AP16" s="40" t="s">
        <v>661</v>
      </c>
      <c r="AQ16" s="28" t="s">
        <v>325</v>
      </c>
      <c r="AR16" s="28"/>
      <c r="AS16" s="28" t="s">
        <v>535</v>
      </c>
      <c r="AT16" s="28"/>
      <c r="AU16" s="28" t="s">
        <v>321</v>
      </c>
      <c r="AV16" s="28"/>
      <c r="AW16" s="28"/>
      <c r="AX16" s="2" t="s">
        <v>1389</v>
      </c>
      <c r="AY16" s="28"/>
      <c r="AZ16" s="28"/>
      <c r="BA16" s="28"/>
      <c r="BB16" s="28"/>
      <c r="BC16" s="28"/>
      <c r="BD16" s="39"/>
      <c r="BE16" s="39"/>
      <c r="BF16" s="39"/>
      <c r="BG16" s="39"/>
      <c r="BH16" s="59" t="s">
        <v>1544</v>
      </c>
      <c r="BI16" s="59"/>
      <c r="BJ16" s="28" t="s">
        <v>803</v>
      </c>
      <c r="BK16" s="28"/>
      <c r="BL16" s="28"/>
      <c r="BM16" s="28"/>
      <c r="BN16" s="28"/>
      <c r="BO16" s="28"/>
      <c r="BP16" s="28" t="s">
        <v>1005</v>
      </c>
      <c r="BQ16" s="28"/>
      <c r="BR16" s="28" t="s">
        <v>793</v>
      </c>
      <c r="BS16" s="28" t="s">
        <v>1533</v>
      </c>
      <c r="BT16" s="2" t="s">
        <v>993</v>
      </c>
      <c r="BU16"/>
      <c r="BV16"/>
      <c r="BW16"/>
      <c r="BX16"/>
      <c r="BY16"/>
      <c r="BZ16"/>
      <c r="CA16"/>
      <c r="CB16"/>
      <c r="CC16" s="236" t="s">
        <v>1065</v>
      </c>
      <c r="CD16"/>
      <c r="CE16"/>
      <c r="CF16" s="28" t="s">
        <v>1534</v>
      </c>
      <c r="CG16" s="28"/>
      <c r="CH16"/>
      <c r="CI16"/>
    </row>
    <row r="17" spans="1:87">
      <c r="A17" s="3"/>
      <c r="B17" s="44"/>
      <c r="C17" s="28"/>
      <c r="D17" s="28"/>
      <c r="E17" s="39" t="s">
        <v>1915</v>
      </c>
      <c r="F17" s="28" t="s">
        <v>2504</v>
      </c>
      <c r="G17" s="2" t="s">
        <v>1916</v>
      </c>
      <c r="H17" s="28" t="s">
        <v>1392</v>
      </c>
      <c r="I17" s="51" t="s">
        <v>1048</v>
      </c>
      <c r="J17" s="44"/>
      <c r="K17" s="44" t="s">
        <v>1068</v>
      </c>
      <c r="L17" s="28"/>
      <c r="M17" s="51" t="s">
        <v>1917</v>
      </c>
      <c r="N17" s="51" t="s">
        <v>1917</v>
      </c>
      <c r="O17" s="51" t="s">
        <v>1917</v>
      </c>
      <c r="P17" s="51" t="s">
        <v>1917</v>
      </c>
      <c r="Q17" s="28"/>
      <c r="R17" s="2" t="s">
        <v>1918</v>
      </c>
      <c r="S17" s="28" t="s">
        <v>652</v>
      </c>
      <c r="T17"/>
      <c r="U17" t="s">
        <v>1001</v>
      </c>
      <c r="V17" s="2" t="s">
        <v>1916</v>
      </c>
      <c r="W17" s="28"/>
      <c r="X17" s="28" t="s">
        <v>2505</v>
      </c>
      <c r="Y17" s="28"/>
      <c r="Z17" s="28" t="s">
        <v>1914</v>
      </c>
      <c r="AA17" s="28" t="s">
        <v>1054</v>
      </c>
      <c r="AB17" s="28"/>
      <c r="AC17" s="28" t="s">
        <v>482</v>
      </c>
      <c r="AD17" s="28" t="s">
        <v>2594</v>
      </c>
      <c r="AE17" s="28" t="s">
        <v>551</v>
      </c>
      <c r="AF17" s="28" t="s">
        <v>2595</v>
      </c>
      <c r="AG17" s="62" t="s">
        <v>1483</v>
      </c>
      <c r="AH17" s="28"/>
      <c r="AI17" s="28"/>
      <c r="AJ17" s="55" t="s">
        <v>1547</v>
      </c>
      <c r="AK17" s="28"/>
      <c r="AL17" s="59" t="s">
        <v>1548</v>
      </c>
      <c r="AM17" s="58" t="s">
        <v>292</v>
      </c>
      <c r="AN17" s="28"/>
      <c r="AO17" s="40" t="s">
        <v>661</v>
      </c>
      <c r="AP17" s="40" t="s">
        <v>661</v>
      </c>
      <c r="AQ17" s="28" t="s">
        <v>326</v>
      </c>
      <c r="AR17" s="28"/>
      <c r="AS17" s="28" t="s">
        <v>1072</v>
      </c>
      <c r="AT17" s="28"/>
      <c r="AU17" s="28"/>
      <c r="AV17" s="28"/>
      <c r="AW17" s="28"/>
      <c r="AX17" s="2" t="s">
        <v>2506</v>
      </c>
      <c r="AY17" s="28"/>
      <c r="AZ17" s="28"/>
      <c r="BA17" s="28"/>
      <c r="BB17" s="28"/>
      <c r="BC17" s="28"/>
      <c r="BD17" s="39"/>
      <c r="BE17" s="39"/>
      <c r="BF17" s="39"/>
      <c r="BG17" s="39"/>
      <c r="BH17" s="59" t="s">
        <v>1549</v>
      </c>
      <c r="BI17" s="59"/>
      <c r="BJ17" s="28" t="s">
        <v>806</v>
      </c>
      <c r="BK17" s="28"/>
      <c r="BL17" s="28"/>
      <c r="BM17" s="28"/>
      <c r="BN17" s="28"/>
      <c r="BO17" s="28"/>
      <c r="BP17" s="28" t="s">
        <v>807</v>
      </c>
      <c r="BQ17" s="28"/>
      <c r="BR17" s="28" t="s">
        <v>1920</v>
      </c>
      <c r="BS17" s="43" t="s">
        <v>249</v>
      </c>
      <c r="BT17" s="32" t="s">
        <v>724</v>
      </c>
      <c r="BU17"/>
      <c r="BV17"/>
      <c r="BW17"/>
      <c r="BX17"/>
      <c r="BY17"/>
      <c r="BZ17"/>
      <c r="CA17"/>
      <c r="CB17"/>
      <c r="CC17" s="236" t="s">
        <v>1073</v>
      </c>
      <c r="CD17"/>
      <c r="CE17"/>
      <c r="CF17" s="43" t="s">
        <v>1539</v>
      </c>
      <c r="CG17" s="28"/>
      <c r="CH17"/>
      <c r="CI17"/>
    </row>
    <row r="18" spans="1:87">
      <c r="A18" s="3"/>
      <c r="B18" s="44"/>
      <c r="C18" s="28"/>
      <c r="D18" s="28"/>
      <c r="E18" s="69" t="s">
        <v>1551</v>
      </c>
      <c r="F18" s="28" t="s">
        <v>1526</v>
      </c>
      <c r="G18" s="2" t="s">
        <v>1921</v>
      </c>
      <c r="H18" s="39" t="s">
        <v>436</v>
      </c>
      <c r="I18" s="51" t="s">
        <v>1058</v>
      </c>
      <c r="J18" s="44"/>
      <c r="K18" s="44" t="s">
        <v>1076</v>
      </c>
      <c r="L18" s="28"/>
      <c r="M18" s="51" t="s">
        <v>957</v>
      </c>
      <c r="N18" s="51" t="s">
        <v>957</v>
      </c>
      <c r="O18" s="51" t="s">
        <v>957</v>
      </c>
      <c r="P18" s="51" t="s">
        <v>957</v>
      </c>
      <c r="Q18" s="28"/>
      <c r="R18" s="2" t="s">
        <v>1922</v>
      </c>
      <c r="S18" s="28" t="s">
        <v>654</v>
      </c>
      <c r="T18"/>
      <c r="U18" s="70" t="s">
        <v>1552</v>
      </c>
      <c r="V18" s="2" t="s">
        <v>1921</v>
      </c>
      <c r="W18" s="28"/>
      <c r="X18" s="28" t="s">
        <v>2507</v>
      </c>
      <c r="Y18" s="28"/>
      <c r="Z18" s="28" t="s">
        <v>1919</v>
      </c>
      <c r="AA18" s="28" t="s">
        <v>1064</v>
      </c>
      <c r="AB18" s="28"/>
      <c r="AC18" s="28" t="s">
        <v>1374</v>
      </c>
      <c r="AD18" s="28" t="s">
        <v>488</v>
      </c>
      <c r="AE18" s="28" t="s">
        <v>553</v>
      </c>
      <c r="AF18" s="2" t="s">
        <v>2596</v>
      </c>
      <c r="AG18" s="62" t="s">
        <v>1472</v>
      </c>
      <c r="AH18" s="28"/>
      <c r="AI18" s="28"/>
      <c r="AJ18" s="55" t="s">
        <v>347</v>
      </c>
      <c r="AK18" s="28"/>
      <c r="AL18" s="59" t="s">
        <v>1554</v>
      </c>
      <c r="AM18" s="58" t="s">
        <v>312</v>
      </c>
      <c r="AN18" s="28"/>
      <c r="AO18" s="40" t="s">
        <v>661</v>
      </c>
      <c r="AP18" s="40" t="s">
        <v>661</v>
      </c>
      <c r="AQ18" s="28" t="s">
        <v>328</v>
      </c>
      <c r="AR18" s="28"/>
      <c r="AS18" s="28" t="s">
        <v>539</v>
      </c>
      <c r="AT18" s="28"/>
      <c r="AU18" s="28"/>
      <c r="AV18" s="28"/>
      <c r="AW18" s="28"/>
      <c r="AX18" s="2" t="s">
        <v>1537</v>
      </c>
      <c r="AY18" s="28"/>
      <c r="AZ18" s="28"/>
      <c r="BA18" s="28"/>
      <c r="BB18" s="28"/>
      <c r="BC18" s="28"/>
      <c r="BD18" s="39"/>
      <c r="BE18" s="39"/>
      <c r="BF18" s="39"/>
      <c r="BG18" s="39"/>
      <c r="BH18" s="59" t="s">
        <v>1556</v>
      </c>
      <c r="BI18" s="59"/>
      <c r="BJ18" s="28" t="s">
        <v>809</v>
      </c>
      <c r="BK18" s="28"/>
      <c r="BL18" s="28"/>
      <c r="BM18" s="28"/>
      <c r="BN18" s="28"/>
      <c r="BO18" s="28"/>
      <c r="BP18" s="28" t="s">
        <v>660</v>
      </c>
      <c r="BQ18" s="28"/>
      <c r="BR18" s="28" t="s">
        <v>1923</v>
      </c>
      <c r="BS18" s="28" t="s">
        <v>761</v>
      </c>
      <c r="BT18" s="32" t="s">
        <v>736</v>
      </c>
      <c r="BU18"/>
      <c r="BV18"/>
      <c r="BW18"/>
      <c r="BX18"/>
      <c r="BY18"/>
      <c r="BZ18"/>
      <c r="CA18"/>
      <c r="CB18"/>
      <c r="CC18" s="236" t="s">
        <v>1079</v>
      </c>
      <c r="CD18"/>
      <c r="CE18"/>
      <c r="CF18" s="28" t="s">
        <v>1545</v>
      </c>
      <c r="CG18" s="28"/>
      <c r="CH18"/>
      <c r="CI18"/>
    </row>
    <row r="19" spans="1:87">
      <c r="A19" s="3"/>
      <c r="B19" s="44"/>
      <c r="C19" s="28"/>
      <c r="D19" s="28"/>
      <c r="E19" s="69" t="s">
        <v>1559</v>
      </c>
      <c r="F19" s="28" t="s">
        <v>767</v>
      </c>
      <c r="G19" s="2" t="s">
        <v>1924</v>
      </c>
      <c r="H19" s="39" t="s">
        <v>435</v>
      </c>
      <c r="I19" s="51" t="s">
        <v>1067</v>
      </c>
      <c r="J19" s="44"/>
      <c r="K19" s="44" t="s">
        <v>1082</v>
      </c>
      <c r="L19" s="28"/>
      <c r="M19" s="51" t="s">
        <v>967</v>
      </c>
      <c r="N19" s="51" t="s">
        <v>967</v>
      </c>
      <c r="O19" s="51" t="s">
        <v>967</v>
      </c>
      <c r="P19" s="51" t="s">
        <v>967</v>
      </c>
      <c r="Q19" s="28"/>
      <c r="R19" s="2" t="s">
        <v>1925</v>
      </c>
      <c r="S19" s="28" t="s">
        <v>656</v>
      </c>
      <c r="T19"/>
      <c r="U19" s="70" t="s">
        <v>1560</v>
      </c>
      <c r="V19" s="2" t="s">
        <v>1924</v>
      </c>
      <c r="W19" s="28"/>
      <c r="X19" s="28" t="s">
        <v>1546</v>
      </c>
      <c r="Y19" s="28"/>
      <c r="Z19" s="28" t="s">
        <v>2784</v>
      </c>
      <c r="AA19" s="28" t="s">
        <v>1553</v>
      </c>
      <c r="AB19" s="28"/>
      <c r="AC19" s="28" t="s">
        <v>3</v>
      </c>
      <c r="AD19" s="28" t="s">
        <v>2597</v>
      </c>
      <c r="AE19" s="28" t="s">
        <v>554</v>
      </c>
      <c r="AF19" s="28" t="s">
        <v>2598</v>
      </c>
      <c r="AG19" s="62" t="s">
        <v>1498</v>
      </c>
      <c r="AH19" s="28"/>
      <c r="AI19" s="28"/>
      <c r="AJ19" s="55" t="s">
        <v>349</v>
      </c>
      <c r="AK19" s="28"/>
      <c r="AL19" s="59" t="s">
        <v>1563</v>
      </c>
      <c r="AM19" s="58" t="s">
        <v>316</v>
      </c>
      <c r="AN19" s="28"/>
      <c r="AO19" s="40" t="s">
        <v>661</v>
      </c>
      <c r="AP19" s="40" t="s">
        <v>661</v>
      </c>
      <c r="AQ19" s="28" t="s">
        <v>329</v>
      </c>
      <c r="AR19" s="28"/>
      <c r="AS19" s="28" t="s">
        <v>542</v>
      </c>
      <c r="AT19" s="28"/>
      <c r="AU19" s="28"/>
      <c r="AV19" s="28"/>
      <c r="AW19" s="28"/>
      <c r="AX19" s="2" t="s">
        <v>2508</v>
      </c>
      <c r="AY19" s="28"/>
      <c r="AZ19" s="28"/>
      <c r="BA19" s="28"/>
      <c r="BB19" s="28"/>
      <c r="BC19" s="28"/>
      <c r="BD19" s="39"/>
      <c r="BE19" s="39"/>
      <c r="BF19" s="39"/>
      <c r="BG19" s="39"/>
      <c r="BH19" s="71" t="s">
        <v>1564</v>
      </c>
      <c r="BI19" s="71"/>
      <c r="BJ19" s="28" t="s">
        <v>812</v>
      </c>
      <c r="BK19" s="28"/>
      <c r="BL19" s="28"/>
      <c r="BM19" s="28"/>
      <c r="BN19" s="28"/>
      <c r="BO19" s="28"/>
      <c r="BP19" s="28" t="s">
        <v>403</v>
      </c>
      <c r="BQ19" s="28"/>
      <c r="BR19" s="28" t="s">
        <v>1926</v>
      </c>
      <c r="BS19" s="28" t="s">
        <v>765</v>
      </c>
      <c r="BT19" s="32" t="s">
        <v>1557</v>
      </c>
      <c r="BU19"/>
      <c r="BV19"/>
      <c r="BW19"/>
      <c r="BX19"/>
      <c r="BY19"/>
      <c r="BZ19"/>
      <c r="CA19"/>
      <c r="CB19"/>
      <c r="CC19" s="236" t="s">
        <v>1087</v>
      </c>
      <c r="CD19"/>
      <c r="CE19"/>
      <c r="CF19" s="28" t="s">
        <v>1550</v>
      </c>
      <c r="CG19" s="28"/>
      <c r="CH19"/>
      <c r="CI19"/>
    </row>
    <row r="20" spans="1:87">
      <c r="A20" s="3"/>
      <c r="B20" s="44"/>
      <c r="C20" s="28"/>
      <c r="D20" s="28"/>
      <c r="E20" s="72" t="s">
        <v>1565</v>
      </c>
      <c r="F20" s="28" t="s">
        <v>781</v>
      </c>
      <c r="G20" s="2" t="s">
        <v>1041</v>
      </c>
      <c r="H20" s="39" t="s">
        <v>382</v>
      </c>
      <c r="I20" s="51" t="s">
        <v>1075</v>
      </c>
      <c r="J20" s="44"/>
      <c r="K20" s="44" t="s">
        <v>1091</v>
      </c>
      <c r="L20" s="28"/>
      <c r="M20" s="51" t="s">
        <v>977</v>
      </c>
      <c r="N20" s="51" t="s">
        <v>977</v>
      </c>
      <c r="O20" s="51" t="s">
        <v>977</v>
      </c>
      <c r="P20" s="51" t="s">
        <v>977</v>
      </c>
      <c r="Q20" s="28"/>
      <c r="R20" s="2" t="s">
        <v>1928</v>
      </c>
      <c r="S20" s="28" t="s">
        <v>818</v>
      </c>
      <c r="T20"/>
      <c r="U20" s="51" t="s">
        <v>1929</v>
      </c>
      <c r="V20" s="2" t="s">
        <v>1041</v>
      </c>
      <c r="W20" s="28"/>
      <c r="X20" s="28" t="s">
        <v>1561</v>
      </c>
      <c r="Y20" s="28"/>
      <c r="Z20" s="28"/>
      <c r="AA20" s="28" t="s">
        <v>1562</v>
      </c>
      <c r="AB20" s="28"/>
      <c r="AC20" s="28" t="s">
        <v>487</v>
      </c>
      <c r="AD20" s="28" t="s">
        <v>535</v>
      </c>
      <c r="AE20" s="28" t="s">
        <v>557</v>
      </c>
      <c r="AF20" s="28" t="s">
        <v>2599</v>
      </c>
      <c r="AG20" s="66" t="s">
        <v>662</v>
      </c>
      <c r="AH20" s="28"/>
      <c r="AI20" s="28"/>
      <c r="AJ20" s="55" t="s">
        <v>351</v>
      </c>
      <c r="AK20" s="28"/>
      <c r="AL20" s="59" t="s">
        <v>1566</v>
      </c>
      <c r="AM20" s="58" t="s">
        <v>319</v>
      </c>
      <c r="AN20" s="28"/>
      <c r="AO20" s="40" t="s">
        <v>661</v>
      </c>
      <c r="AP20" s="40" t="s">
        <v>661</v>
      </c>
      <c r="AQ20" s="28" t="s">
        <v>330</v>
      </c>
      <c r="AR20" s="28"/>
      <c r="AS20" s="28" t="s">
        <v>1097</v>
      </c>
      <c r="AT20" s="28"/>
      <c r="AU20" s="28"/>
      <c r="AV20" s="28"/>
      <c r="AW20" s="28"/>
      <c r="AX20" s="2" t="s">
        <v>1543</v>
      </c>
      <c r="AY20" s="28"/>
      <c r="AZ20" s="28"/>
      <c r="BA20" s="28"/>
      <c r="BB20" s="28"/>
      <c r="BC20" s="28"/>
      <c r="BD20" s="39"/>
      <c r="BE20" s="39"/>
      <c r="BF20" s="39"/>
      <c r="BG20" s="39"/>
      <c r="BH20" s="59" t="s">
        <v>1567</v>
      </c>
      <c r="BI20" s="59"/>
      <c r="BJ20" s="28" t="s">
        <v>814</v>
      </c>
      <c r="BK20" s="28"/>
      <c r="BL20" s="28"/>
      <c r="BM20" s="28"/>
      <c r="BN20" s="28"/>
      <c r="BO20" s="28"/>
      <c r="BP20" s="28" t="s">
        <v>1568</v>
      </c>
      <c r="BQ20" s="28"/>
      <c r="BR20" s="28" t="s">
        <v>2786</v>
      </c>
      <c r="BS20" s="28" t="s">
        <v>765</v>
      </c>
      <c r="BT20" s="32" t="s">
        <v>743</v>
      </c>
      <c r="BU20"/>
      <c r="BV20"/>
      <c r="BW20"/>
      <c r="BX20"/>
      <c r="BY20"/>
      <c r="BZ20"/>
      <c r="CA20"/>
      <c r="CB20"/>
      <c r="CC20"/>
      <c r="CD20"/>
      <c r="CE20"/>
      <c r="CF20" s="28" t="s">
        <v>1558</v>
      </c>
      <c r="CG20" s="28"/>
      <c r="CH20"/>
      <c r="CI20"/>
    </row>
    <row r="21" spans="1:87">
      <c r="A21" s="3"/>
      <c r="B21" s="44"/>
      <c r="C21" s="28"/>
      <c r="D21" s="28"/>
      <c r="E21" s="72" t="s">
        <v>1569</v>
      </c>
      <c r="F21" s="28" t="s">
        <v>1540</v>
      </c>
      <c r="G21" s="2" t="s">
        <v>1053</v>
      </c>
      <c r="H21" s="42" t="s">
        <v>393</v>
      </c>
      <c r="I21" s="51" t="s">
        <v>1081</v>
      </c>
      <c r="J21" s="44"/>
      <c r="K21" s="44" t="s">
        <v>1390</v>
      </c>
      <c r="L21" s="28"/>
      <c r="M21" s="51" t="s">
        <v>2538</v>
      </c>
      <c r="N21" s="51" t="s">
        <v>2538</v>
      </c>
      <c r="O21" s="51" t="s">
        <v>2538</v>
      </c>
      <c r="P21" s="51" t="s">
        <v>2538</v>
      </c>
      <c r="Q21" s="28"/>
      <c r="R21" s="2" t="s">
        <v>1932</v>
      </c>
      <c r="S21" s="28" t="s">
        <v>1933</v>
      </c>
      <c r="T21"/>
      <c r="U21" s="51" t="s">
        <v>1934</v>
      </c>
      <c r="V21" s="2" t="s">
        <v>1053</v>
      </c>
      <c r="W21" s="28"/>
      <c r="X21" s="28"/>
      <c r="Y21" s="28"/>
      <c r="Z21" s="28"/>
      <c r="AA21" s="28"/>
      <c r="AB21" s="28"/>
      <c r="AC21" s="28" t="s">
        <v>488</v>
      </c>
      <c r="AD21" s="28" t="s">
        <v>542</v>
      </c>
      <c r="AE21" s="28" t="s">
        <v>559</v>
      </c>
      <c r="AF21" s="28" t="s">
        <v>2600</v>
      </c>
      <c r="AG21" s="62" t="s">
        <v>1874</v>
      </c>
      <c r="AH21" s="28"/>
      <c r="AI21" s="28"/>
      <c r="AJ21" s="55" t="s">
        <v>353</v>
      </c>
      <c r="AK21" s="28"/>
      <c r="AL21" s="59" t="s">
        <v>1570</v>
      </c>
      <c r="AM21" s="58" t="s">
        <v>798</v>
      </c>
      <c r="AN21" s="28"/>
      <c r="AO21" s="40" t="s">
        <v>661</v>
      </c>
      <c r="AP21" s="40" t="s">
        <v>661</v>
      </c>
      <c r="AQ21" s="28" t="s">
        <v>331</v>
      </c>
      <c r="AR21" s="28"/>
      <c r="AS21" s="28" t="s">
        <v>544</v>
      </c>
      <c r="AT21" s="28"/>
      <c r="AU21" s="28"/>
      <c r="AV21" s="28"/>
      <c r="AW21" s="28"/>
      <c r="AX21" s="28" t="s">
        <v>751</v>
      </c>
      <c r="AY21" s="28"/>
      <c r="AZ21" s="28"/>
      <c r="BA21" s="28"/>
      <c r="BB21" s="28"/>
      <c r="BC21" s="28"/>
      <c r="BD21" s="39"/>
      <c r="BE21" s="39"/>
      <c r="BF21" s="39"/>
      <c r="BG21" s="39"/>
      <c r="BH21" s="59" t="s">
        <v>1572</v>
      </c>
      <c r="BI21" s="59"/>
      <c r="BJ21" s="28" t="s">
        <v>815</v>
      </c>
      <c r="BK21" s="28"/>
      <c r="BL21" s="28"/>
      <c r="BM21" s="28"/>
      <c r="BN21" s="28"/>
      <c r="BO21" s="28"/>
      <c r="BP21" s="28" t="s">
        <v>406</v>
      </c>
      <c r="BQ21" s="28"/>
      <c r="BR21" s="28" t="s">
        <v>283</v>
      </c>
      <c r="BS21" s="28" t="s">
        <v>1379</v>
      </c>
      <c r="BT21" s="2" t="s">
        <v>2785</v>
      </c>
      <c r="BU21"/>
      <c r="BV21"/>
      <c r="BW21"/>
      <c r="BX21"/>
      <c r="BY21"/>
      <c r="BZ21"/>
      <c r="CA21"/>
      <c r="CB21"/>
      <c r="CC21"/>
      <c r="CD21"/>
      <c r="CE21"/>
      <c r="CF21" s="28" t="s">
        <v>1927</v>
      </c>
      <c r="CG21" s="28"/>
      <c r="CH21"/>
      <c r="CI21"/>
    </row>
    <row r="22" spans="1:87">
      <c r="A22" s="3"/>
      <c r="B22" s="44"/>
      <c r="C22" s="28"/>
      <c r="D22" s="28"/>
      <c r="E22" s="2" t="s">
        <v>983</v>
      </c>
      <c r="F22" s="28"/>
      <c r="G22" s="2" t="s">
        <v>1063</v>
      </c>
      <c r="H22" s="28" t="s">
        <v>646</v>
      </c>
      <c r="I22" s="51" t="s">
        <v>1222</v>
      </c>
      <c r="J22" s="42"/>
      <c r="K22" s="28" t="s">
        <v>2529</v>
      </c>
      <c r="L22" s="28"/>
      <c r="M22" s="51" t="s">
        <v>1931</v>
      </c>
      <c r="N22" s="51" t="s">
        <v>1931</v>
      </c>
      <c r="O22" s="51" t="s">
        <v>1931</v>
      </c>
      <c r="P22" s="51" t="s">
        <v>1931</v>
      </c>
      <c r="Q22" s="28"/>
      <c r="R22" s="2" t="s">
        <v>1936</v>
      </c>
      <c r="S22" s="28" t="s">
        <v>1937</v>
      </c>
      <c r="T22"/>
      <c r="U22" s="51" t="s">
        <v>1938</v>
      </c>
      <c r="V22" s="2" t="s">
        <v>1063</v>
      </c>
      <c r="W22" s="28"/>
      <c r="X22" s="28"/>
      <c r="Y22" s="28"/>
      <c r="Z22" s="28"/>
      <c r="AA22" s="28"/>
      <c r="AB22" s="28"/>
      <c r="AC22" s="28" t="s">
        <v>1375</v>
      </c>
      <c r="AD22" s="28" t="s">
        <v>2601</v>
      </c>
      <c r="AE22" s="28" t="s">
        <v>562</v>
      </c>
      <c r="AF22" s="28" t="s">
        <v>2602</v>
      </c>
      <c r="AG22" s="62" t="s">
        <v>1574</v>
      </c>
      <c r="AH22" s="28"/>
      <c r="AI22" s="28"/>
      <c r="AJ22" s="55" t="s">
        <v>356</v>
      </c>
      <c r="AK22" s="28"/>
      <c r="AL22" s="59" t="s">
        <v>1575</v>
      </c>
      <c r="AM22" s="58" t="s">
        <v>800</v>
      </c>
      <c r="AN22" s="28"/>
      <c r="AO22" s="40" t="s">
        <v>661</v>
      </c>
      <c r="AP22" s="40" t="s">
        <v>661</v>
      </c>
      <c r="AQ22" s="28" t="s">
        <v>332</v>
      </c>
      <c r="AR22" s="28"/>
      <c r="AS22" s="28" t="s">
        <v>1113</v>
      </c>
      <c r="AT22" s="28"/>
      <c r="AU22" s="28"/>
      <c r="AV22" s="28"/>
      <c r="AW22" s="28"/>
      <c r="AX22" s="28" t="s">
        <v>1555</v>
      </c>
      <c r="AY22" s="28"/>
      <c r="AZ22" s="28"/>
      <c r="BA22" s="28"/>
      <c r="BB22" s="28"/>
      <c r="BC22" s="28"/>
      <c r="BD22" s="39"/>
      <c r="BE22" s="39"/>
      <c r="BF22" s="39"/>
      <c r="BG22" s="39"/>
      <c r="BH22" s="59" t="s">
        <v>1576</v>
      </c>
      <c r="BI22" s="59"/>
      <c r="BJ22" s="28" t="s">
        <v>817</v>
      </c>
      <c r="BK22" s="28"/>
      <c r="BL22" s="28"/>
      <c r="BM22" s="28"/>
      <c r="BN22" s="28"/>
      <c r="BO22" s="28"/>
      <c r="BP22" s="28" t="s">
        <v>409</v>
      </c>
      <c r="BQ22" s="28"/>
      <c r="BR22" s="28" t="s">
        <v>239</v>
      </c>
      <c r="BS22" s="28" t="s">
        <v>1865</v>
      </c>
      <c r="BU22"/>
      <c r="BV22"/>
      <c r="BW22"/>
      <c r="BX22"/>
      <c r="BY22"/>
      <c r="BZ22"/>
      <c r="CA22"/>
      <c r="CB22"/>
      <c r="CC22"/>
      <c r="CD22"/>
      <c r="CE22"/>
      <c r="CF22" s="28" t="s">
        <v>1930</v>
      </c>
      <c r="CG22" s="28"/>
      <c r="CH22"/>
      <c r="CI22"/>
    </row>
    <row r="23" spans="1:87">
      <c r="A23" s="3"/>
      <c r="B23" s="44"/>
      <c r="C23" s="28"/>
      <c r="D23" s="28"/>
      <c r="E23" s="2" t="s">
        <v>996</v>
      </c>
      <c r="F23" s="28"/>
      <c r="G23" s="2" t="s">
        <v>1071</v>
      </c>
      <c r="H23" s="28" t="s">
        <v>964</v>
      </c>
      <c r="I23" s="51" t="s">
        <v>1109</v>
      </c>
      <c r="J23" s="42"/>
      <c r="K23" s="28" t="s">
        <v>2533</v>
      </c>
      <c r="L23" s="28"/>
      <c r="M23" s="51" t="s">
        <v>1935</v>
      </c>
      <c r="N23" s="51" t="s">
        <v>1935</v>
      </c>
      <c r="O23" s="51" t="s">
        <v>1935</v>
      </c>
      <c r="P23" s="51" t="s">
        <v>1935</v>
      </c>
      <c r="Q23" s="28"/>
      <c r="R23" s="2" t="s">
        <v>1940</v>
      </c>
      <c r="S23" s="33" t="s">
        <v>999</v>
      </c>
      <c r="T23"/>
      <c r="U23" t="s">
        <v>1015</v>
      </c>
      <c r="V23" s="2" t="s">
        <v>1071</v>
      </c>
      <c r="W23" s="28"/>
      <c r="X23" s="28"/>
      <c r="Y23" s="28"/>
      <c r="Z23" s="28"/>
      <c r="AA23" s="28"/>
      <c r="AB23" s="28"/>
      <c r="AC23" s="28" t="s">
        <v>1377</v>
      </c>
      <c r="AD23" s="28" t="s">
        <v>2603</v>
      </c>
      <c r="AE23" s="28" t="s">
        <v>565</v>
      </c>
      <c r="AF23" s="28" t="s">
        <v>2604</v>
      </c>
      <c r="AG23" s="62" t="s">
        <v>1578</v>
      </c>
      <c r="AH23" s="28"/>
      <c r="AI23" s="28"/>
      <c r="AJ23" s="59" t="s">
        <v>1579</v>
      </c>
      <c r="AK23" s="28"/>
      <c r="AL23" s="59" t="s">
        <v>1580</v>
      </c>
      <c r="AM23" s="59" t="s">
        <v>1581</v>
      </c>
      <c r="AN23" s="28"/>
      <c r="AO23" s="40" t="s">
        <v>661</v>
      </c>
      <c r="AP23" s="40" t="s">
        <v>661</v>
      </c>
      <c r="AQ23" s="28" t="s">
        <v>334</v>
      </c>
      <c r="AR23" s="28"/>
      <c r="AS23" s="28" t="s">
        <v>546</v>
      </c>
      <c r="AT23" s="28"/>
      <c r="AU23" s="28"/>
      <c r="AV23" s="28"/>
      <c r="AW23" s="28"/>
      <c r="AX23" s="28" t="s">
        <v>613</v>
      </c>
      <c r="AY23" s="28"/>
      <c r="AZ23" s="28"/>
      <c r="BA23" s="28"/>
      <c r="BB23" s="28"/>
      <c r="BC23" s="28"/>
      <c r="BD23" s="39"/>
      <c r="BE23" s="39"/>
      <c r="BF23" s="39"/>
      <c r="BG23" s="39"/>
      <c r="BH23" s="59" t="s">
        <v>1583</v>
      </c>
      <c r="BI23" s="59"/>
      <c r="BJ23" s="28" t="s">
        <v>820</v>
      </c>
      <c r="BK23" s="28"/>
      <c r="BL23" s="28"/>
      <c r="BM23" s="28"/>
      <c r="BN23" s="28"/>
      <c r="BO23" s="28"/>
      <c r="BP23" s="28" t="s">
        <v>810</v>
      </c>
      <c r="BQ23" s="28"/>
      <c r="BR23" s="28" t="s">
        <v>284</v>
      </c>
      <c r="BS23" s="28" t="s">
        <v>1873</v>
      </c>
      <c r="BU23"/>
      <c r="BV23"/>
      <c r="BW23"/>
      <c r="BX23"/>
      <c r="BY23"/>
      <c r="BZ23"/>
      <c r="CA23"/>
      <c r="CB23"/>
      <c r="CC23"/>
      <c r="CD23"/>
      <c r="CE23"/>
      <c r="CF23" s="28" t="s">
        <v>1573</v>
      </c>
      <c r="CG23" s="28"/>
      <c r="CH23"/>
      <c r="CI23"/>
    </row>
    <row r="24" spans="1:87">
      <c r="A24" s="3"/>
      <c r="B24" s="44"/>
      <c r="C24" s="28"/>
      <c r="D24" s="28"/>
      <c r="E24" s="2" t="s">
        <v>1008</v>
      </c>
      <c r="F24" s="28"/>
      <c r="G24" s="2" t="s">
        <v>1078</v>
      </c>
      <c r="H24" s="28" t="s">
        <v>1942</v>
      </c>
      <c r="I24" s="51" t="s">
        <v>1116</v>
      </c>
      <c r="J24" s="28"/>
      <c r="K24" s="28" t="s">
        <v>2539</v>
      </c>
      <c r="L24" s="28"/>
      <c r="M24" s="51" t="s">
        <v>1939</v>
      </c>
      <c r="N24" s="51" t="s">
        <v>1939</v>
      </c>
      <c r="O24" s="51" t="s">
        <v>1939</v>
      </c>
      <c r="P24" s="51" t="s">
        <v>1939</v>
      </c>
      <c r="Q24" s="28"/>
      <c r="R24" s="2" t="s">
        <v>1944</v>
      </c>
      <c r="S24" s="28" t="s">
        <v>437</v>
      </c>
      <c r="T24"/>
      <c r="U24" s="73" t="s">
        <v>1585</v>
      </c>
      <c r="V24" s="2" t="s">
        <v>1078</v>
      </c>
      <c r="W24" s="28"/>
      <c r="X24" s="28"/>
      <c r="Y24" s="28"/>
      <c r="Z24" s="28"/>
      <c r="AA24" s="28"/>
      <c r="AB24" s="28"/>
      <c r="AC24" s="28" t="s">
        <v>489</v>
      </c>
      <c r="AD24" s="28" t="s">
        <v>496</v>
      </c>
      <c r="AE24" s="28" t="s">
        <v>568</v>
      </c>
      <c r="AF24" s="28" t="s">
        <v>2605</v>
      </c>
      <c r="AG24" s="62" t="s">
        <v>1586</v>
      </c>
      <c r="AH24" s="28"/>
      <c r="AI24" s="28"/>
      <c r="AJ24" s="59" t="s">
        <v>1945</v>
      </c>
      <c r="AK24"/>
      <c r="AL24" s="59" t="s">
        <v>1587</v>
      </c>
      <c r="AM24" s="59" t="s">
        <v>1588</v>
      </c>
      <c r="AN24" s="28"/>
      <c r="AO24" s="28"/>
      <c r="AP24" s="40" t="s">
        <v>661</v>
      </c>
      <c r="AQ24" s="28" t="s">
        <v>336</v>
      </c>
      <c r="AR24" s="28"/>
      <c r="AS24" s="28" t="s">
        <v>548</v>
      </c>
      <c r="AT24" s="28"/>
      <c r="AU24" s="28"/>
      <c r="AV24" s="28"/>
      <c r="AW24" s="28"/>
      <c r="AX24" s="28" t="s">
        <v>156</v>
      </c>
      <c r="AY24" s="28"/>
      <c r="AZ24" s="28"/>
      <c r="BA24" s="28"/>
      <c r="BB24" s="28"/>
      <c r="BC24" s="28"/>
      <c r="BD24" s="39"/>
      <c r="BE24" s="39"/>
      <c r="BF24" s="39"/>
      <c r="BG24" s="39"/>
      <c r="BH24" s="59" t="s">
        <v>1589</v>
      </c>
      <c r="BI24" s="59"/>
      <c r="BJ24" s="28" t="s">
        <v>822</v>
      </c>
      <c r="BK24" s="28"/>
      <c r="BL24" s="28"/>
      <c r="BM24" s="28"/>
      <c r="BN24" s="28"/>
      <c r="BO24" s="28"/>
      <c r="BP24" s="28" t="s">
        <v>1590</v>
      </c>
      <c r="BQ24" s="28"/>
      <c r="BR24" s="28"/>
      <c r="BS24" s="28" t="s">
        <v>306</v>
      </c>
      <c r="BU24"/>
      <c r="BV24"/>
      <c r="BW24"/>
      <c r="BX24"/>
      <c r="BY24"/>
      <c r="BZ24"/>
      <c r="CA24"/>
      <c r="CB24"/>
      <c r="CC24"/>
      <c r="CD24"/>
      <c r="CE24"/>
      <c r="CF24" s="28" t="s">
        <v>1577</v>
      </c>
      <c r="CG24" s="28"/>
      <c r="CH24"/>
      <c r="CI24"/>
    </row>
    <row r="25" spans="1:87">
      <c r="A25" s="3"/>
      <c r="B25" s="44"/>
      <c r="C25" s="28"/>
      <c r="D25" s="28"/>
      <c r="E25" s="2" t="s">
        <v>1022</v>
      </c>
      <c r="F25" s="28"/>
      <c r="G25" s="2" t="s">
        <v>1086</v>
      </c>
      <c r="H25" s="28" t="s">
        <v>1947</v>
      </c>
      <c r="I25" s="51" t="s">
        <v>1121</v>
      </c>
      <c r="J25" s="44"/>
      <c r="K25" s="44" t="s">
        <v>2540</v>
      </c>
      <c r="L25" s="28"/>
      <c r="M25" s="51" t="s">
        <v>1943</v>
      </c>
      <c r="N25" s="51" t="s">
        <v>1943</v>
      </c>
      <c r="O25" s="51" t="s">
        <v>1943</v>
      </c>
      <c r="P25" s="51" t="s">
        <v>1943</v>
      </c>
      <c r="Q25" s="28"/>
      <c r="R25" s="2" t="s">
        <v>1949</v>
      </c>
      <c r="S25" s="33" t="s">
        <v>1027</v>
      </c>
      <c r="T25"/>
      <c r="U25" t="s">
        <v>1029</v>
      </c>
      <c r="V25" s="2" t="s">
        <v>1086</v>
      </c>
      <c r="W25" s="28"/>
      <c r="X25" s="28"/>
      <c r="Y25" s="28"/>
      <c r="Z25" s="28"/>
      <c r="AA25" s="28"/>
      <c r="AB25" s="28"/>
      <c r="AC25" s="28" t="s">
        <v>491</v>
      </c>
      <c r="AD25" s="28" t="s">
        <v>2606</v>
      </c>
      <c r="AE25" s="28" t="s">
        <v>571</v>
      </c>
      <c r="AF25" s="28" t="s">
        <v>2607</v>
      </c>
      <c r="AG25" s="62" t="s">
        <v>1592</v>
      </c>
      <c r="AH25" s="28"/>
      <c r="AI25" s="28"/>
      <c r="AJ25" s="71" t="s">
        <v>1950</v>
      </c>
      <c r="AK25"/>
      <c r="AL25" s="59" t="s">
        <v>1593</v>
      </c>
      <c r="AM25" s="59" t="s">
        <v>1594</v>
      </c>
      <c r="AN25" s="28"/>
      <c r="AO25" s="28"/>
      <c r="AP25" s="28"/>
      <c r="AQ25" s="28" t="s">
        <v>337</v>
      </c>
      <c r="AR25" s="28"/>
      <c r="AS25" s="28" t="s">
        <v>550</v>
      </c>
      <c r="AT25" s="28"/>
      <c r="AU25" s="28"/>
      <c r="AV25" s="28"/>
      <c r="AW25" s="28"/>
      <c r="AX25" s="28" t="s">
        <v>1571</v>
      </c>
      <c r="AY25" s="28"/>
      <c r="AZ25" s="28"/>
      <c r="BA25" s="28"/>
      <c r="BB25" s="28"/>
      <c r="BC25" s="28"/>
      <c r="BD25" s="39"/>
      <c r="BE25" s="39"/>
      <c r="BF25" s="39"/>
      <c r="BG25" s="39"/>
      <c r="BH25" s="59" t="s">
        <v>1595</v>
      </c>
      <c r="BI25" s="59"/>
      <c r="BJ25" s="28" t="s">
        <v>823</v>
      </c>
      <c r="BK25" s="28"/>
      <c r="BL25" s="28"/>
      <c r="BM25" s="28"/>
      <c r="BN25" s="28"/>
      <c r="BO25" s="28"/>
      <c r="BP25" s="28"/>
      <c r="BQ25" s="28"/>
      <c r="BR25" s="28"/>
      <c r="BS25" s="28" t="s">
        <v>1584</v>
      </c>
      <c r="BT25" s="38"/>
      <c r="BU25"/>
      <c r="BV25"/>
      <c r="BW25"/>
      <c r="BX25"/>
      <c r="BY25"/>
      <c r="BZ25"/>
      <c r="CA25"/>
      <c r="CB25"/>
      <c r="CC25"/>
      <c r="CD25"/>
      <c r="CE25"/>
      <c r="CF25" s="28" t="s">
        <v>1941</v>
      </c>
      <c r="CG25" s="28"/>
      <c r="CH25"/>
      <c r="CI25"/>
    </row>
    <row r="26" spans="1:87">
      <c r="A26" s="3"/>
      <c r="B26" s="44"/>
      <c r="C26" s="28"/>
      <c r="D26" s="28"/>
      <c r="E26" s="2" t="s">
        <v>1035</v>
      </c>
      <c r="F26" s="28"/>
      <c r="G26" s="2" t="s">
        <v>1952</v>
      </c>
      <c r="H26" s="28" t="s">
        <v>651</v>
      </c>
      <c r="I26" s="51" t="s">
        <v>1128</v>
      </c>
      <c r="J26" s="44"/>
      <c r="K26" s="44"/>
      <c r="L26" s="28"/>
      <c r="M26" s="51" t="s">
        <v>1948</v>
      </c>
      <c r="N26" s="51" t="s">
        <v>1948</v>
      </c>
      <c r="O26" s="51" t="s">
        <v>1948</v>
      </c>
      <c r="P26" s="51" t="s">
        <v>1948</v>
      </c>
      <c r="Q26" s="28"/>
      <c r="R26" s="2" t="s">
        <v>1954</v>
      </c>
      <c r="S26" s="33" t="s">
        <v>1039</v>
      </c>
      <c r="T26"/>
      <c r="U26" s="74" t="s">
        <v>1597</v>
      </c>
      <c r="V26" s="2" t="s">
        <v>1952</v>
      </c>
      <c r="W26" s="28"/>
      <c r="X26" s="28"/>
      <c r="Y26" s="28"/>
      <c r="Z26" s="28"/>
      <c r="AA26" s="28"/>
      <c r="AB26" s="28"/>
      <c r="AC26" s="28" t="s">
        <v>1598</v>
      </c>
      <c r="AD26" s="28" t="s">
        <v>2608</v>
      </c>
      <c r="AE26" s="28" t="s">
        <v>574</v>
      </c>
      <c r="AF26" s="28" t="s">
        <v>2609</v>
      </c>
      <c r="AG26" s="59" t="s">
        <v>1599</v>
      </c>
      <c r="AH26" s="28"/>
      <c r="AI26" s="28"/>
      <c r="AJ26" s="59" t="s">
        <v>1600</v>
      </c>
      <c r="AK26" s="28"/>
      <c r="AL26" s="59" t="s">
        <v>1601</v>
      </c>
      <c r="AM26" s="59" t="s">
        <v>1602</v>
      </c>
      <c r="AN26" s="28"/>
      <c r="AO26" s="28"/>
      <c r="AP26" s="28"/>
      <c r="AQ26" s="28" t="s">
        <v>338</v>
      </c>
      <c r="AR26" s="28"/>
      <c r="AS26" s="28" t="s">
        <v>552</v>
      </c>
      <c r="AT26" s="28"/>
      <c r="AU26" s="28"/>
      <c r="AV26" s="28"/>
      <c r="AW26" s="28"/>
      <c r="AX26" s="28" t="s">
        <v>2509</v>
      </c>
      <c r="AY26" s="28"/>
      <c r="AZ26" s="28"/>
      <c r="BA26" s="28"/>
      <c r="BB26" s="28"/>
      <c r="BC26" s="28"/>
      <c r="BD26" s="39"/>
      <c r="BE26" s="39"/>
      <c r="BF26" s="39"/>
      <c r="BG26" s="39"/>
      <c r="BH26" s="59" t="s">
        <v>1603</v>
      </c>
      <c r="BI26" s="59"/>
      <c r="BJ26" s="28" t="s">
        <v>825</v>
      </c>
      <c r="BK26" s="28"/>
      <c r="BL26" s="28"/>
      <c r="BM26" s="28"/>
      <c r="BN26" s="28"/>
      <c r="BO26" s="28"/>
      <c r="BP26" s="28"/>
      <c r="BQ26" s="28"/>
      <c r="BR26" s="28"/>
      <c r="BS26" s="28" t="s">
        <v>1946</v>
      </c>
      <c r="BU26"/>
      <c r="BV26"/>
      <c r="BW26"/>
      <c r="BX26"/>
      <c r="BY26"/>
      <c r="BZ26"/>
      <c r="CA26"/>
      <c r="CB26"/>
      <c r="CC26"/>
      <c r="CD26"/>
      <c r="CE26"/>
      <c r="CF26" s="28" t="s">
        <v>1591</v>
      </c>
      <c r="CG26" s="28"/>
      <c r="CH26"/>
      <c r="CI26"/>
    </row>
    <row r="27" spans="1:87">
      <c r="A27" s="3"/>
      <c r="B27" s="44"/>
      <c r="C27" s="28"/>
      <c r="D27" s="28"/>
      <c r="E27" s="2" t="s">
        <v>1046</v>
      </c>
      <c r="F27" s="28"/>
      <c r="G27" s="2" t="s">
        <v>1957</v>
      </c>
      <c r="H27" s="39" t="s">
        <v>1009</v>
      </c>
      <c r="I27" s="51" t="s">
        <v>1134</v>
      </c>
      <c r="J27" s="44"/>
      <c r="K27" s="44"/>
      <c r="L27" s="28"/>
      <c r="M27" s="51" t="s">
        <v>1953</v>
      </c>
      <c r="N27" s="51" t="s">
        <v>1953</v>
      </c>
      <c r="O27" s="51" t="s">
        <v>1953</v>
      </c>
      <c r="P27" s="51" t="s">
        <v>1953</v>
      </c>
      <c r="Q27" s="28"/>
      <c r="R27" s="2" t="s">
        <v>1959</v>
      </c>
      <c r="S27" s="39" t="s">
        <v>1052</v>
      </c>
      <c r="T27"/>
      <c r="U27" s="73" t="s">
        <v>1604</v>
      </c>
      <c r="V27" s="2" t="s">
        <v>1957</v>
      </c>
      <c r="W27" s="28"/>
      <c r="X27" s="28"/>
      <c r="Y27" s="28"/>
      <c r="Z27" s="28"/>
      <c r="AA27" s="28"/>
      <c r="AB27" s="28"/>
      <c r="AC27" s="28" t="s">
        <v>492</v>
      </c>
      <c r="AD27" s="28" t="s">
        <v>555</v>
      </c>
      <c r="AE27" s="28" t="s">
        <v>576</v>
      </c>
      <c r="AF27" s="2" t="s">
        <v>2610</v>
      </c>
      <c r="AG27" s="61" t="s">
        <v>311</v>
      </c>
      <c r="AH27" s="28"/>
      <c r="AI27" s="28"/>
      <c r="AJ27" s="59" t="s">
        <v>1960</v>
      </c>
      <c r="AK27" s="28"/>
      <c r="AL27" s="59" t="s">
        <v>1605</v>
      </c>
      <c r="AM27" s="59" t="s">
        <v>1606</v>
      </c>
      <c r="AN27" s="28"/>
      <c r="AO27" s="28"/>
      <c r="AP27" s="28"/>
      <c r="AQ27" s="28" t="s">
        <v>340</v>
      </c>
      <c r="AR27" s="28"/>
      <c r="AS27" s="28" t="s">
        <v>1391</v>
      </c>
      <c r="AT27" s="28"/>
      <c r="AU27" s="28"/>
      <c r="AV27" s="28"/>
      <c r="AW27" s="28"/>
      <c r="AX27" s="28" t="s">
        <v>991</v>
      </c>
      <c r="AY27" s="28"/>
      <c r="AZ27" s="28"/>
      <c r="BA27" s="28"/>
      <c r="BB27" s="28"/>
      <c r="BC27" s="28"/>
      <c r="BD27" s="39"/>
      <c r="BE27" s="39"/>
      <c r="BF27" s="39"/>
      <c r="BG27" s="39"/>
      <c r="BH27" s="71" t="s">
        <v>1607</v>
      </c>
      <c r="BI27" s="71"/>
      <c r="BJ27" s="28" t="s">
        <v>827</v>
      </c>
      <c r="BK27" s="28"/>
      <c r="BL27" s="28"/>
      <c r="BM27" s="28"/>
      <c r="BN27" s="28"/>
      <c r="BO27" s="28"/>
      <c r="BP27" s="28"/>
      <c r="BQ27" s="28"/>
      <c r="BR27" s="28"/>
      <c r="BS27" s="28" t="s">
        <v>1596</v>
      </c>
      <c r="BU27"/>
      <c r="BV27"/>
      <c r="BW27"/>
      <c r="BX27"/>
      <c r="BY27"/>
      <c r="BZ27"/>
      <c r="CA27"/>
      <c r="CB27"/>
      <c r="CC27"/>
      <c r="CD27"/>
      <c r="CE27"/>
      <c r="CF27" s="28" t="s">
        <v>1951</v>
      </c>
      <c r="CG27" s="28"/>
      <c r="CH27"/>
      <c r="CI27"/>
    </row>
    <row r="28" spans="1:87">
      <c r="A28" s="3"/>
      <c r="B28" s="28"/>
      <c r="C28" s="28"/>
      <c r="D28" s="28"/>
      <c r="E28" s="2" t="s">
        <v>1056</v>
      </c>
      <c r="F28" s="28"/>
      <c r="G28" s="2" t="s">
        <v>1096</v>
      </c>
      <c r="H28" s="2" t="s">
        <v>658</v>
      </c>
      <c r="I28" s="51" t="s">
        <v>1141</v>
      </c>
      <c r="J28" s="42"/>
      <c r="K28" s="42"/>
      <c r="L28" s="28"/>
      <c r="M28" s="51" t="s">
        <v>1958</v>
      </c>
      <c r="N28" s="51" t="s">
        <v>1958</v>
      </c>
      <c r="O28" s="51" t="s">
        <v>1958</v>
      </c>
      <c r="P28" s="51" t="s">
        <v>1958</v>
      </c>
      <c r="Q28" s="28"/>
      <c r="R28" s="2" t="s">
        <v>1964</v>
      </c>
      <c r="S28" s="39" t="s">
        <v>1062</v>
      </c>
      <c r="T28"/>
      <c r="U28" t="s">
        <v>621</v>
      </c>
      <c r="V28" s="2" t="s">
        <v>1096</v>
      </c>
      <c r="W28" s="28"/>
      <c r="X28" s="28"/>
      <c r="Y28" s="28"/>
      <c r="Z28" s="28"/>
      <c r="AA28" s="28"/>
      <c r="AB28" s="28"/>
      <c r="AC28" s="28" t="s">
        <v>493</v>
      </c>
      <c r="AD28" s="28" t="s">
        <v>2611</v>
      </c>
      <c r="AE28" s="28" t="s">
        <v>578</v>
      </c>
      <c r="AF28" s="28" t="s">
        <v>2612</v>
      </c>
      <c r="AG28" s="59" t="s">
        <v>1608</v>
      </c>
      <c r="AH28"/>
      <c r="AI28" s="28"/>
      <c r="AJ28" s="59" t="s">
        <v>1965</v>
      </c>
      <c r="AK28" s="28"/>
      <c r="AL28" s="59" t="s">
        <v>1609</v>
      </c>
      <c r="AM28" s="59" t="s">
        <v>1610</v>
      </c>
      <c r="AN28" s="28"/>
      <c r="AO28" s="28"/>
      <c r="AP28" s="28"/>
      <c r="AQ28" s="28" t="s">
        <v>342</v>
      </c>
      <c r="AR28" s="28"/>
      <c r="AS28" s="28" t="s">
        <v>1150</v>
      </c>
      <c r="AT28" s="28"/>
      <c r="AU28" s="28"/>
      <c r="AV28" s="28"/>
      <c r="AW28" s="28"/>
      <c r="AX28" s="28" t="s">
        <v>1582</v>
      </c>
      <c r="AY28" s="28"/>
      <c r="AZ28" s="28"/>
      <c r="BA28" s="28"/>
      <c r="BB28" s="28"/>
      <c r="BC28" s="28"/>
      <c r="BD28" s="39"/>
      <c r="BE28" s="39"/>
      <c r="BF28" s="39"/>
      <c r="BG28" s="39"/>
      <c r="BH28" s="71" t="s">
        <v>1611</v>
      </c>
      <c r="BI28" s="71"/>
      <c r="BJ28" s="28" t="s">
        <v>828</v>
      </c>
      <c r="BK28" s="28"/>
      <c r="BL28" s="28"/>
      <c r="BM28" s="28"/>
      <c r="BN28" s="28"/>
      <c r="BO28" s="28"/>
      <c r="BP28" s="28"/>
      <c r="BQ28" s="28"/>
      <c r="BR28" s="28"/>
      <c r="BS28" s="28" t="s">
        <v>1955</v>
      </c>
      <c r="BU28"/>
      <c r="BV28"/>
      <c r="BW28"/>
      <c r="BX28"/>
      <c r="BY28"/>
      <c r="BZ28"/>
      <c r="CA28"/>
      <c r="CB28"/>
      <c r="CC28"/>
      <c r="CD28"/>
      <c r="CE28"/>
      <c r="CF28" s="28" t="s">
        <v>1956</v>
      </c>
      <c r="CG28" s="28"/>
      <c r="CH28"/>
      <c r="CI28"/>
    </row>
    <row r="29" spans="1:87">
      <c r="A29" s="3"/>
      <c r="B29" s="28"/>
      <c r="C29" s="28"/>
      <c r="D29" s="28"/>
      <c r="E29" s="2" t="s">
        <v>1066</v>
      </c>
      <c r="F29" s="28"/>
      <c r="G29" s="44" t="s">
        <v>1105</v>
      </c>
      <c r="H29" s="39" t="s">
        <v>624</v>
      </c>
      <c r="I29" s="51" t="s">
        <v>1147</v>
      </c>
      <c r="J29" s="42"/>
      <c r="K29" s="42"/>
      <c r="L29" s="28"/>
      <c r="M29" s="51" t="s">
        <v>1963</v>
      </c>
      <c r="N29" s="51" t="s">
        <v>1963</v>
      </c>
      <c r="O29" s="51" t="s">
        <v>1963</v>
      </c>
      <c r="P29" s="51" t="s">
        <v>1963</v>
      </c>
      <c r="Q29" s="28"/>
      <c r="R29" s="39" t="s">
        <v>1969</v>
      </c>
      <c r="S29" s="28" t="s">
        <v>1085</v>
      </c>
      <c r="T29"/>
      <c r="U29" t="s">
        <v>327</v>
      </c>
      <c r="V29" s="44" t="s">
        <v>1105</v>
      </c>
      <c r="W29" s="28"/>
      <c r="X29" s="28"/>
      <c r="Y29" s="28"/>
      <c r="Z29" s="28"/>
      <c r="AA29" s="28"/>
      <c r="AB29" s="28"/>
      <c r="AC29" s="28" t="s">
        <v>494</v>
      </c>
      <c r="AD29" s="28" t="s">
        <v>2613</v>
      </c>
      <c r="AE29" s="28" t="s">
        <v>580</v>
      </c>
      <c r="AF29" s="28" t="s">
        <v>2614</v>
      </c>
      <c r="AG29" s="59" t="s">
        <v>1612</v>
      </c>
      <c r="AH29"/>
      <c r="AI29" s="28"/>
      <c r="AJ29" s="59" t="s">
        <v>1613</v>
      </c>
      <c r="AK29" s="28"/>
      <c r="AL29" s="59" t="s">
        <v>1614</v>
      </c>
      <c r="AM29" s="59" t="s">
        <v>1615</v>
      </c>
      <c r="AN29" s="28"/>
      <c r="AO29" s="28"/>
      <c r="AP29" s="28"/>
      <c r="AQ29" s="28" t="s">
        <v>344</v>
      </c>
      <c r="AR29" s="28"/>
      <c r="AS29" s="28" t="s">
        <v>1155</v>
      </c>
      <c r="AT29" s="28"/>
      <c r="AU29" s="28"/>
      <c r="AV29" s="28"/>
      <c r="AW29" s="28"/>
      <c r="AX29" s="28" t="s">
        <v>2510</v>
      </c>
      <c r="AY29" s="28"/>
      <c r="AZ29" s="28"/>
      <c r="BA29" s="28"/>
      <c r="BB29" s="28"/>
      <c r="BC29" s="28"/>
      <c r="BD29" s="28"/>
      <c r="BE29" s="28"/>
      <c r="BF29" s="28"/>
      <c r="BG29" s="28"/>
      <c r="BH29" s="71" t="s">
        <v>1616</v>
      </c>
      <c r="BI29" s="71"/>
      <c r="BJ29" s="28" t="s">
        <v>830</v>
      </c>
      <c r="BK29" s="28"/>
      <c r="BL29" s="28"/>
      <c r="BM29" s="28"/>
      <c r="BN29" s="28"/>
      <c r="BO29" s="28"/>
      <c r="BP29" s="28"/>
      <c r="BQ29" s="28"/>
      <c r="BR29" s="28"/>
      <c r="BS29" s="28" t="s">
        <v>1961</v>
      </c>
      <c r="BU29"/>
      <c r="BV29"/>
      <c r="BW29"/>
      <c r="BX29"/>
      <c r="BY29"/>
      <c r="BZ29"/>
      <c r="CA29"/>
      <c r="CB29"/>
      <c r="CC29"/>
      <c r="CD29"/>
      <c r="CE29"/>
      <c r="CF29" s="28" t="s">
        <v>1962</v>
      </c>
      <c r="CG29" s="28"/>
      <c r="CH29"/>
      <c r="CI29"/>
    </row>
    <row r="30" spans="1:87">
      <c r="A30" s="3"/>
      <c r="B30" s="28"/>
      <c r="C30" s="28"/>
      <c r="D30" s="28"/>
      <c r="E30" s="39" t="s">
        <v>1074</v>
      </c>
      <c r="F30" s="28"/>
      <c r="G30" s="2" t="s">
        <v>1112</v>
      </c>
      <c r="H30" s="39" t="s">
        <v>1047</v>
      </c>
      <c r="I30" s="75" t="s">
        <v>1147</v>
      </c>
      <c r="J30" s="28"/>
      <c r="K30" s="28"/>
      <c r="L30" s="28"/>
      <c r="M30" s="51" t="s">
        <v>1968</v>
      </c>
      <c r="N30" s="51" t="s">
        <v>1968</v>
      </c>
      <c r="O30" s="51" t="s">
        <v>1968</v>
      </c>
      <c r="P30" s="51" t="s">
        <v>1968</v>
      </c>
      <c r="Q30" s="28"/>
      <c r="R30" s="39" t="s">
        <v>416</v>
      </c>
      <c r="S30" s="28" t="s">
        <v>1617</v>
      </c>
      <c r="T30"/>
      <c r="U30" t="s">
        <v>490</v>
      </c>
      <c r="V30" s="2" t="s">
        <v>1112</v>
      </c>
      <c r="W30" s="28"/>
      <c r="X30" s="28"/>
      <c r="Y30" s="28"/>
      <c r="Z30" s="28"/>
      <c r="AA30" s="28"/>
      <c r="AB30" s="28"/>
      <c r="AC30" s="28" t="s">
        <v>495</v>
      </c>
      <c r="AD30" s="28" t="s">
        <v>2615</v>
      </c>
      <c r="AE30" s="28" t="s">
        <v>581</v>
      </c>
      <c r="AF30" s="28" t="s">
        <v>2616</v>
      </c>
      <c r="AG30" s="59" t="s">
        <v>1618</v>
      </c>
      <c r="AH30" s="28"/>
      <c r="AI30" s="28"/>
      <c r="AJ30" s="71" t="s">
        <v>1619</v>
      </c>
      <c r="AK30" s="28"/>
      <c r="AL30" s="59" t="s">
        <v>1620</v>
      </c>
      <c r="AM30" s="59" t="s">
        <v>1621</v>
      </c>
      <c r="AN30" s="28"/>
      <c r="AO30" s="28"/>
      <c r="AP30" s="28"/>
      <c r="AQ30" s="28" t="s">
        <v>345</v>
      </c>
      <c r="AR30" s="28"/>
      <c r="AS30" s="28" t="s">
        <v>555</v>
      </c>
      <c r="AT30" s="28"/>
      <c r="AU30" s="28"/>
      <c r="AV30" s="28"/>
      <c r="AW30" s="28"/>
      <c r="AX30" s="28" t="s">
        <v>776</v>
      </c>
      <c r="AY30" s="28"/>
      <c r="AZ30" s="28"/>
      <c r="BA30" s="28"/>
      <c r="BB30" s="28"/>
      <c r="BC30" s="28"/>
      <c r="BD30" s="28"/>
      <c r="BE30" s="28"/>
      <c r="BF30" s="28"/>
      <c r="BG30" s="28"/>
      <c r="BH30" s="59" t="s">
        <v>1623</v>
      </c>
      <c r="BI30" s="59"/>
      <c r="BJ30" s="28" t="s">
        <v>831</v>
      </c>
      <c r="BK30" s="28"/>
      <c r="BL30" s="28"/>
      <c r="BM30" s="28"/>
      <c r="BN30" s="28"/>
      <c r="BO30" s="28"/>
      <c r="BP30" s="28"/>
      <c r="BQ30" s="28"/>
      <c r="BR30" s="28"/>
      <c r="BS30" s="28" t="s">
        <v>1966</v>
      </c>
      <c r="BU30"/>
      <c r="BV30"/>
      <c r="BW30"/>
      <c r="BX30"/>
      <c r="BY30"/>
      <c r="BZ30"/>
      <c r="CA30"/>
      <c r="CB30"/>
      <c r="CC30"/>
      <c r="CD30"/>
      <c r="CE30"/>
      <c r="CF30" s="28" t="s">
        <v>1967</v>
      </c>
      <c r="CG30" s="28"/>
      <c r="CH30"/>
      <c r="CI30"/>
    </row>
    <row r="31" spans="1:87">
      <c r="A31" s="3"/>
      <c r="B31" s="28"/>
      <c r="C31" s="28"/>
      <c r="D31" s="28"/>
      <c r="E31" s="39" t="s">
        <v>1080</v>
      </c>
      <c r="F31" s="28"/>
      <c r="G31" s="2" t="s">
        <v>1118</v>
      </c>
      <c r="H31" s="39" t="s">
        <v>1624</v>
      </c>
      <c r="I31" s="51" t="s">
        <v>1158</v>
      </c>
      <c r="J31" s="44"/>
      <c r="K31" s="44"/>
      <c r="L31" s="28"/>
      <c r="M31" s="51" t="s">
        <v>1971</v>
      </c>
      <c r="N31" s="51" t="s">
        <v>1971</v>
      </c>
      <c r="O31" s="51" t="s">
        <v>1971</v>
      </c>
      <c r="P31" s="51" t="s">
        <v>1971</v>
      </c>
      <c r="Q31" s="28"/>
      <c r="R31" s="39" t="s">
        <v>417</v>
      </c>
      <c r="S31" s="28" t="s">
        <v>1975</v>
      </c>
      <c r="T31"/>
      <c r="U31" t="s">
        <v>616</v>
      </c>
      <c r="V31" s="2" t="s">
        <v>1118</v>
      </c>
      <c r="W31" s="28"/>
      <c r="X31" s="28"/>
      <c r="Y31" s="28"/>
      <c r="Z31" s="28"/>
      <c r="AA31" s="28"/>
      <c r="AB31" s="28"/>
      <c r="AC31" s="28" t="s">
        <v>496</v>
      </c>
      <c r="AD31" s="28" t="s">
        <v>2617</v>
      </c>
      <c r="AE31" s="28" t="s">
        <v>582</v>
      </c>
      <c r="AF31" s="28" t="s">
        <v>2618</v>
      </c>
      <c r="AG31" s="59" t="s">
        <v>1625</v>
      </c>
      <c r="AH31" s="28"/>
      <c r="AI31" s="28"/>
      <c r="AJ31" s="59" t="s">
        <v>1626</v>
      </c>
      <c r="AK31" s="28"/>
      <c r="AL31" s="59" t="s">
        <v>1627</v>
      </c>
      <c r="AM31" s="59" t="s">
        <v>1628</v>
      </c>
      <c r="AN31" s="28"/>
      <c r="AO31" s="28"/>
      <c r="AP31" s="28"/>
      <c r="AQ31" s="28" t="s">
        <v>346</v>
      </c>
      <c r="AR31" s="28"/>
      <c r="AS31" s="28" t="s">
        <v>143</v>
      </c>
      <c r="AT31" s="28"/>
      <c r="AU31" s="28"/>
      <c r="AV31" s="28"/>
      <c r="AW31" s="28"/>
      <c r="AX31" s="2" t="s">
        <v>1373</v>
      </c>
      <c r="AY31" s="28"/>
      <c r="AZ31" s="28"/>
      <c r="BA31" s="28"/>
      <c r="BB31" s="28"/>
      <c r="BC31" s="28"/>
      <c r="BD31" s="28"/>
      <c r="BE31" s="28"/>
      <c r="BF31" s="28"/>
      <c r="BG31" s="28"/>
      <c r="BH31" s="59" t="s">
        <v>1629</v>
      </c>
      <c r="BI31" s="59"/>
      <c r="BJ31" s="28" t="s">
        <v>833</v>
      </c>
      <c r="BK31" s="28"/>
      <c r="BL31" s="28"/>
      <c r="BM31" s="28"/>
      <c r="BN31" s="28"/>
      <c r="BO31" s="28"/>
      <c r="BP31" s="28"/>
      <c r="BQ31" s="28"/>
      <c r="BR31" s="28"/>
      <c r="BS31" s="28" t="s">
        <v>1883</v>
      </c>
      <c r="BU31"/>
      <c r="BV31"/>
      <c r="BW31"/>
      <c r="BX31"/>
      <c r="BY31"/>
      <c r="BZ31"/>
      <c r="CA31"/>
      <c r="CB31"/>
      <c r="CC31"/>
      <c r="CD31"/>
      <c r="CE31"/>
      <c r="CF31" s="28" t="s">
        <v>1970</v>
      </c>
      <c r="CG31" s="28"/>
      <c r="CH31"/>
      <c r="CI31"/>
    </row>
    <row r="32" spans="1:87">
      <c r="A32" s="3"/>
      <c r="B32" s="28"/>
      <c r="C32" s="28"/>
      <c r="D32" s="28"/>
      <c r="E32" s="76" t="s">
        <v>1631</v>
      </c>
      <c r="F32" s="28"/>
      <c r="G32" s="2" t="s">
        <v>1977</v>
      </c>
      <c r="H32" s="39" t="s">
        <v>1632</v>
      </c>
      <c r="I32" s="75" t="s">
        <v>1163</v>
      </c>
      <c r="J32" s="42"/>
      <c r="K32" s="42"/>
      <c r="L32" s="28"/>
      <c r="M32" s="51" t="s">
        <v>1974</v>
      </c>
      <c r="N32" s="51" t="s">
        <v>1974</v>
      </c>
      <c r="O32" s="51" t="s">
        <v>1974</v>
      </c>
      <c r="P32" s="51" t="s">
        <v>1974</v>
      </c>
      <c r="Q32" s="28"/>
      <c r="R32" s="39" t="s">
        <v>418</v>
      </c>
      <c r="S32" s="28" t="s">
        <v>1979</v>
      </c>
      <c r="T32"/>
      <c r="U32" s="77" t="s">
        <v>1633</v>
      </c>
      <c r="V32" s="2" t="s">
        <v>1977</v>
      </c>
      <c r="W32" s="28"/>
      <c r="X32" s="28"/>
      <c r="Y32" s="28"/>
      <c r="Z32" s="28"/>
      <c r="AA32" s="28"/>
      <c r="AB32" s="28"/>
      <c r="AC32" s="28" t="s">
        <v>497</v>
      </c>
      <c r="AD32" s="28" t="s">
        <v>2619</v>
      </c>
      <c r="AE32" s="28" t="s">
        <v>583</v>
      </c>
      <c r="AF32" s="28" t="s">
        <v>2620</v>
      </c>
      <c r="AG32" s="59" t="s">
        <v>1634</v>
      </c>
      <c r="AH32" s="28"/>
      <c r="AI32" s="28"/>
      <c r="AJ32" s="55" t="s">
        <v>358</v>
      </c>
      <c r="AK32" s="28"/>
      <c r="AL32" s="59" t="s">
        <v>1635</v>
      </c>
      <c r="AM32" s="59" t="s">
        <v>1636</v>
      </c>
      <c r="AN32" s="28"/>
      <c r="AO32" s="28"/>
      <c r="AP32" s="28"/>
      <c r="AQ32" s="28" t="s">
        <v>348</v>
      </c>
      <c r="AR32" s="28"/>
      <c r="AS32" s="28" t="s">
        <v>560</v>
      </c>
      <c r="AT32" s="28"/>
      <c r="AU32" s="28"/>
      <c r="AV32" s="28"/>
      <c r="AW32" s="28"/>
      <c r="AX32" s="28" t="s">
        <v>784</v>
      </c>
      <c r="AY32" s="28"/>
      <c r="AZ32" s="28"/>
      <c r="BA32" s="28"/>
      <c r="BB32" s="28"/>
      <c r="BC32" s="28"/>
      <c r="BD32" s="28"/>
      <c r="BE32" s="28"/>
      <c r="BF32" s="28"/>
      <c r="BG32" s="28"/>
      <c r="BH32" s="59" t="s">
        <v>1638</v>
      </c>
      <c r="BI32" s="59"/>
      <c r="BJ32" s="28" t="s">
        <v>835</v>
      </c>
      <c r="BK32" s="28"/>
      <c r="BL32" s="28"/>
      <c r="BM32" s="28"/>
      <c r="BN32" s="28"/>
      <c r="BO32" s="28"/>
      <c r="BP32" s="28"/>
      <c r="BQ32" s="28"/>
      <c r="BR32" s="28"/>
      <c r="BS32" s="28" t="s">
        <v>1972</v>
      </c>
      <c r="BU32"/>
      <c r="BV32"/>
      <c r="BW32"/>
      <c r="BX32"/>
      <c r="BY32"/>
      <c r="BZ32"/>
      <c r="CA32"/>
      <c r="CB32"/>
      <c r="CC32"/>
      <c r="CD32"/>
      <c r="CE32"/>
      <c r="CF32" s="28" t="s">
        <v>1973</v>
      </c>
      <c r="CG32" s="28"/>
      <c r="CH32"/>
      <c r="CI32"/>
    </row>
    <row r="33" spans="1:87">
      <c r="A33" s="3"/>
      <c r="B33" s="28"/>
      <c r="C33" s="28"/>
      <c r="D33" s="28"/>
      <c r="E33" s="76" t="s">
        <v>1640</v>
      </c>
      <c r="F33" s="28"/>
      <c r="G33" s="2" t="s">
        <v>1980</v>
      </c>
      <c r="H33" s="39" t="s">
        <v>1641</v>
      </c>
      <c r="I33" s="78" t="s">
        <v>1642</v>
      </c>
      <c r="J33" s="44"/>
      <c r="K33" s="44"/>
      <c r="L33" s="28"/>
      <c r="M33" s="51" t="s">
        <v>1978</v>
      </c>
      <c r="N33" s="51" t="s">
        <v>1978</v>
      </c>
      <c r="O33" s="51" t="s">
        <v>1978</v>
      </c>
      <c r="P33" s="51" t="s">
        <v>1978</v>
      </c>
      <c r="Q33" s="28"/>
      <c r="R33" s="28" t="s">
        <v>958</v>
      </c>
      <c r="S33" s="39" t="s">
        <v>1070</v>
      </c>
      <c r="T33" s="28"/>
      <c r="U33" s="77" t="s">
        <v>1643</v>
      </c>
      <c r="V33" s="2" t="s">
        <v>1980</v>
      </c>
      <c r="W33" s="28"/>
      <c r="X33" s="28"/>
      <c r="Y33" s="28"/>
      <c r="Z33" s="28"/>
      <c r="AA33" s="28"/>
      <c r="AB33" s="28"/>
      <c r="AC33" s="28" t="s">
        <v>498</v>
      </c>
      <c r="AD33" s="28" t="s">
        <v>2621</v>
      </c>
      <c r="AE33" s="28" t="s">
        <v>584</v>
      </c>
      <c r="AF33" s="28" t="s">
        <v>2622</v>
      </c>
      <c r="AG33" s="59" t="s">
        <v>1644</v>
      </c>
      <c r="AH33" s="28"/>
      <c r="AI33" s="28"/>
      <c r="AJ33" s="59" t="s">
        <v>1645</v>
      </c>
      <c r="AK33" s="28"/>
      <c r="AL33" s="59" t="s">
        <v>1646</v>
      </c>
      <c r="AM33" s="59" t="s">
        <v>1647</v>
      </c>
      <c r="AN33" s="28"/>
      <c r="AO33" s="28"/>
      <c r="AP33" s="28"/>
      <c r="AQ33" s="28" t="s">
        <v>350</v>
      </c>
      <c r="AR33" s="28"/>
      <c r="AS33" s="28" t="s">
        <v>563</v>
      </c>
      <c r="AT33" s="28"/>
      <c r="AU33" s="28"/>
      <c r="AV33" s="28"/>
      <c r="AW33" s="28"/>
      <c r="AX33" s="28" t="s">
        <v>790</v>
      </c>
      <c r="AY33" s="28"/>
      <c r="AZ33" s="28"/>
      <c r="BA33" s="28"/>
      <c r="BB33" s="28"/>
      <c r="BC33" s="28"/>
      <c r="BD33" s="28"/>
      <c r="BE33" s="28"/>
      <c r="BF33" s="28"/>
      <c r="BG33" s="28"/>
      <c r="BH33" s="59" t="s">
        <v>1648</v>
      </c>
      <c r="BI33" s="59"/>
      <c r="BJ33" s="28" t="s">
        <v>837</v>
      </c>
      <c r="BK33" s="28"/>
      <c r="BL33" s="28"/>
      <c r="BM33" s="28"/>
      <c r="BN33" s="28"/>
      <c r="BO33" s="28"/>
      <c r="BP33" s="28"/>
      <c r="BQ33" s="28"/>
      <c r="BR33" s="28"/>
      <c r="BS33" s="28" t="s">
        <v>1976</v>
      </c>
      <c r="BU33"/>
      <c r="BV33"/>
      <c r="BW33"/>
      <c r="BX33"/>
      <c r="BY33"/>
      <c r="BZ33"/>
      <c r="CA33"/>
      <c r="CB33"/>
      <c r="CC33"/>
      <c r="CD33"/>
      <c r="CE33"/>
      <c r="CF33" s="28" t="s">
        <v>1630</v>
      </c>
      <c r="CG33" s="28"/>
      <c r="CH33"/>
      <c r="CI33"/>
    </row>
    <row r="34" spans="1:87">
      <c r="A34" s="3"/>
      <c r="B34" s="28"/>
      <c r="C34" s="28"/>
      <c r="D34" s="28"/>
      <c r="E34" s="41" t="s">
        <v>1088</v>
      </c>
      <c r="F34" s="28"/>
      <c r="G34" s="44" t="s">
        <v>1983</v>
      </c>
      <c r="H34" s="39" t="s">
        <v>1650</v>
      </c>
      <c r="I34" s="51" t="s">
        <v>1169</v>
      </c>
      <c r="J34" s="44"/>
      <c r="K34" s="44"/>
      <c r="L34" s="28"/>
      <c r="M34" s="51" t="s">
        <v>1981</v>
      </c>
      <c r="N34" s="51" t="s">
        <v>1981</v>
      </c>
      <c r="O34" s="51" t="s">
        <v>1981</v>
      </c>
      <c r="P34" s="51" t="s">
        <v>1981</v>
      </c>
      <c r="Q34" s="28"/>
      <c r="R34" s="41" t="s">
        <v>1985</v>
      </c>
      <c r="S34" s="28" t="s">
        <v>2780</v>
      </c>
      <c r="U34" t="s">
        <v>333</v>
      </c>
      <c r="V34" s="44" t="s">
        <v>1983</v>
      </c>
      <c r="W34" s="28"/>
      <c r="X34" s="28"/>
      <c r="Y34" s="28"/>
      <c r="Z34" s="28"/>
      <c r="AA34" s="28"/>
      <c r="AB34" s="28"/>
      <c r="AC34" s="28" t="s">
        <v>499</v>
      </c>
      <c r="AD34" s="28" t="s">
        <v>2623</v>
      </c>
      <c r="AE34" s="28" t="s">
        <v>585</v>
      </c>
      <c r="AF34" s="28" t="s">
        <v>2624</v>
      </c>
      <c r="AG34" s="59" t="s">
        <v>1651</v>
      </c>
      <c r="AH34" s="28"/>
      <c r="AI34" s="28"/>
      <c r="AJ34" s="59" t="s">
        <v>1652</v>
      </c>
      <c r="AK34" s="28"/>
      <c r="AL34" s="59" t="s">
        <v>1653</v>
      </c>
      <c r="AM34" s="59" t="s">
        <v>1654</v>
      </c>
      <c r="AN34" s="28"/>
      <c r="AO34" s="28"/>
      <c r="AP34" s="28"/>
      <c r="AQ34" s="28" t="s">
        <v>352</v>
      </c>
      <c r="AR34" s="28"/>
      <c r="AS34" s="28" t="s">
        <v>1184</v>
      </c>
      <c r="AT34" s="28"/>
      <c r="AU34" s="28"/>
      <c r="AV34" s="28"/>
      <c r="AW34" s="28"/>
      <c r="AX34" s="28" t="s">
        <v>376</v>
      </c>
      <c r="AY34" s="28"/>
      <c r="AZ34" s="28"/>
      <c r="BA34" s="28"/>
      <c r="BB34" s="28"/>
      <c r="BC34" s="28"/>
      <c r="BD34" s="28"/>
      <c r="BE34" s="28"/>
      <c r="BF34" s="28"/>
      <c r="BG34" s="28"/>
      <c r="BH34" s="59" t="s">
        <v>1655</v>
      </c>
      <c r="BI34" s="59"/>
      <c r="BJ34" s="28" t="s">
        <v>839</v>
      </c>
      <c r="BK34" s="28"/>
      <c r="BL34" s="28"/>
      <c r="BM34" s="28"/>
      <c r="BN34" s="28"/>
      <c r="BO34" s="28"/>
      <c r="BP34" s="28"/>
      <c r="BQ34" s="28"/>
      <c r="BR34" s="28"/>
      <c r="BS34" s="28" t="s">
        <v>299</v>
      </c>
      <c r="BU34"/>
      <c r="BV34"/>
      <c r="BW34"/>
      <c r="BX34"/>
      <c r="BY34"/>
      <c r="BZ34"/>
      <c r="CA34"/>
      <c r="CB34"/>
      <c r="CC34"/>
      <c r="CD34"/>
      <c r="CE34"/>
      <c r="CF34" s="28" t="s">
        <v>1639</v>
      </c>
      <c r="CG34" s="28"/>
      <c r="CH34"/>
      <c r="CI34"/>
    </row>
    <row r="35" spans="1:87">
      <c r="A35" s="3"/>
      <c r="B35" s="28"/>
      <c r="C35" s="28"/>
      <c r="D35" s="28"/>
      <c r="E35" s="2" t="s">
        <v>1098</v>
      </c>
      <c r="F35" s="28"/>
      <c r="G35" s="44" t="s">
        <v>1988</v>
      </c>
      <c r="H35" s="39" t="s">
        <v>1656</v>
      </c>
      <c r="I35" s="51" t="s">
        <v>1175</v>
      </c>
      <c r="J35" s="44"/>
      <c r="K35" s="44"/>
      <c r="L35" s="28"/>
      <c r="M35" s="51" t="s">
        <v>1984</v>
      </c>
      <c r="N35" s="51" t="s">
        <v>1984</v>
      </c>
      <c r="O35" s="51" t="s">
        <v>1984</v>
      </c>
      <c r="P35" s="51" t="s">
        <v>1984</v>
      </c>
      <c r="Q35" s="28"/>
      <c r="R35" s="41" t="s">
        <v>1989</v>
      </c>
      <c r="U35" s="51" t="s">
        <v>1990</v>
      </c>
      <c r="V35" s="44" t="s">
        <v>1988</v>
      </c>
      <c r="W35" s="28"/>
      <c r="X35" s="28"/>
      <c r="Y35" s="28"/>
      <c r="Z35" s="28"/>
      <c r="AA35" s="28"/>
      <c r="AB35" s="28"/>
      <c r="AC35" s="28" t="s">
        <v>500</v>
      </c>
      <c r="AD35" s="28" t="s">
        <v>2625</v>
      </c>
      <c r="AE35" s="28" t="s">
        <v>587</v>
      </c>
      <c r="AF35" s="28" t="s">
        <v>2626</v>
      </c>
      <c r="AG35" s="59" t="s">
        <v>1991</v>
      </c>
      <c r="AH35" s="28"/>
      <c r="AI35" s="28"/>
      <c r="AJ35" s="59" t="s">
        <v>1657</v>
      </c>
      <c r="AK35" s="28"/>
      <c r="AL35" s="59" t="s">
        <v>1658</v>
      </c>
      <c r="AM35" s="59" t="s">
        <v>1659</v>
      </c>
      <c r="AN35" s="28"/>
      <c r="AO35" s="28"/>
      <c r="AP35" s="28"/>
      <c r="AQ35" s="28" t="s">
        <v>354</v>
      </c>
      <c r="AR35" s="28"/>
      <c r="AS35" s="28" t="s">
        <v>1190</v>
      </c>
      <c r="AT35" s="28"/>
      <c r="AU35" s="28"/>
      <c r="AV35" s="28"/>
      <c r="AW35" s="28"/>
      <c r="AX35" s="28" t="s">
        <v>483</v>
      </c>
      <c r="AY35" s="28"/>
      <c r="AZ35" s="28"/>
      <c r="BA35" s="28"/>
      <c r="BB35" s="28"/>
      <c r="BC35" s="28"/>
      <c r="BD35" s="28"/>
      <c r="BE35" s="28"/>
      <c r="BF35" s="28"/>
      <c r="BG35" s="28"/>
      <c r="BH35" s="59" t="s">
        <v>1660</v>
      </c>
      <c r="BI35" s="59"/>
      <c r="BJ35" s="28" t="s">
        <v>841</v>
      </c>
      <c r="BK35" s="28"/>
      <c r="BL35" s="28"/>
      <c r="BM35" s="28"/>
      <c r="BN35" s="28"/>
      <c r="BO35" s="28"/>
      <c r="BP35" s="28"/>
      <c r="BQ35" s="28"/>
      <c r="BR35" s="28"/>
      <c r="BS35" s="28" t="s">
        <v>1649</v>
      </c>
      <c r="BU35"/>
      <c r="BV35"/>
      <c r="BW35"/>
      <c r="BX35"/>
      <c r="BY35"/>
      <c r="BZ35"/>
      <c r="CA35"/>
      <c r="CB35"/>
      <c r="CC35"/>
      <c r="CD35"/>
      <c r="CE35"/>
      <c r="CF35" s="28" t="s">
        <v>1982</v>
      </c>
      <c r="CG35" s="28"/>
      <c r="CH35"/>
      <c r="CI35"/>
    </row>
    <row r="36" spans="1:87">
      <c r="A36" s="3"/>
      <c r="B36" s="28"/>
      <c r="C36" s="28"/>
      <c r="D36" s="28"/>
      <c r="E36" s="2" t="s">
        <v>1107</v>
      </c>
      <c r="F36" s="28"/>
      <c r="G36" s="44" t="s">
        <v>1125</v>
      </c>
      <c r="H36" s="42" t="s">
        <v>397</v>
      </c>
      <c r="I36" s="51" t="s">
        <v>1180</v>
      </c>
      <c r="J36" s="44"/>
      <c r="K36" s="44"/>
      <c r="L36" s="28"/>
      <c r="M36" s="51" t="s">
        <v>986</v>
      </c>
      <c r="N36" s="51" t="s">
        <v>986</v>
      </c>
      <c r="O36" s="51" t="s">
        <v>986</v>
      </c>
      <c r="P36" s="51" t="s">
        <v>986</v>
      </c>
      <c r="Q36" s="28"/>
      <c r="R36" s="41" t="s">
        <v>1994</v>
      </c>
      <c r="S36" s="28"/>
      <c r="T36" s="28"/>
      <c r="U36" s="51" t="s">
        <v>1995</v>
      </c>
      <c r="V36" s="44" t="s">
        <v>1125</v>
      </c>
      <c r="W36" s="28"/>
      <c r="X36" s="28"/>
      <c r="Y36" s="28"/>
      <c r="Z36" s="28"/>
      <c r="AA36" s="28"/>
      <c r="AB36" s="28"/>
      <c r="AC36" s="28" t="s">
        <v>501</v>
      </c>
      <c r="AD36" s="28" t="s">
        <v>2623</v>
      </c>
      <c r="AE36" s="28" t="s">
        <v>589</v>
      </c>
      <c r="AF36" s="28" t="s">
        <v>2627</v>
      </c>
      <c r="AG36" s="59" t="s">
        <v>1996</v>
      </c>
      <c r="AH36" s="28"/>
      <c r="AI36"/>
      <c r="AJ36" s="59" t="s">
        <v>1661</v>
      </c>
      <c r="AL36" s="59" t="s">
        <v>1662</v>
      </c>
      <c r="AM36" s="59" t="s">
        <v>1663</v>
      </c>
      <c r="AN36" s="28"/>
      <c r="AO36" s="28"/>
      <c r="AP36" s="28"/>
      <c r="AQ36" s="28" t="s">
        <v>355</v>
      </c>
      <c r="AR36" s="28"/>
      <c r="AS36" s="28" t="s">
        <v>566</v>
      </c>
      <c r="AT36" s="28"/>
      <c r="AU36" s="28"/>
      <c r="AV36" s="28"/>
      <c r="AW36" s="28"/>
      <c r="AX36" s="28" t="s">
        <v>2511</v>
      </c>
      <c r="AY36"/>
      <c r="AZ36" s="28"/>
      <c r="BA36" s="28"/>
      <c r="BB36" s="28"/>
      <c r="BC36" s="28"/>
      <c r="BD36" s="28"/>
      <c r="BE36" s="28"/>
      <c r="BF36" s="28"/>
      <c r="BG36" s="28"/>
      <c r="BH36" s="59" t="s">
        <v>1664</v>
      </c>
      <c r="BI36" s="59"/>
      <c r="BJ36" s="28" t="s">
        <v>842</v>
      </c>
      <c r="BK36" s="28"/>
      <c r="BL36" s="28"/>
      <c r="BM36" s="28"/>
      <c r="BN36" s="28"/>
      <c r="BO36" s="28"/>
      <c r="BP36" s="28"/>
      <c r="BQ36" s="28"/>
      <c r="BR36" s="28"/>
      <c r="BS36" s="28" t="s">
        <v>1986</v>
      </c>
      <c r="BU36"/>
      <c r="BV36"/>
      <c r="BW36"/>
      <c r="BX36"/>
      <c r="BY36"/>
      <c r="BZ36"/>
      <c r="CA36"/>
      <c r="CB36"/>
      <c r="CC36"/>
      <c r="CD36"/>
      <c r="CE36"/>
      <c r="CF36" s="28" t="s">
        <v>1987</v>
      </c>
      <c r="CG36" s="28"/>
      <c r="CH36"/>
      <c r="CI36"/>
    </row>
    <row r="37" spans="1:87">
      <c r="A37" s="3"/>
      <c r="B37" s="28"/>
      <c r="C37" s="28"/>
      <c r="D37" s="28"/>
      <c r="E37" s="2" t="s">
        <v>1998</v>
      </c>
      <c r="F37" s="28"/>
      <c r="G37" s="44" t="s">
        <v>1131</v>
      </c>
      <c r="H37" s="42" t="s">
        <v>438</v>
      </c>
      <c r="I37" s="75" t="s">
        <v>1180</v>
      </c>
      <c r="J37" s="28"/>
      <c r="K37" s="28"/>
      <c r="L37" s="28"/>
      <c r="M37" s="51" t="s">
        <v>998</v>
      </c>
      <c r="N37" s="51" t="s">
        <v>998</v>
      </c>
      <c r="O37" s="51" t="s">
        <v>998</v>
      </c>
      <c r="P37" s="51" t="s">
        <v>998</v>
      </c>
      <c r="Q37" s="28"/>
      <c r="R37" s="41" t="s">
        <v>407</v>
      </c>
      <c r="S37" s="28"/>
      <c r="T37" s="28"/>
      <c r="U37" t="s">
        <v>619</v>
      </c>
      <c r="V37" s="44" t="s">
        <v>1131</v>
      </c>
      <c r="W37" s="28"/>
      <c r="X37" s="28"/>
      <c r="Y37" s="28"/>
      <c r="Z37" s="28"/>
      <c r="AA37" s="28"/>
      <c r="AB37" s="28"/>
      <c r="AC37" s="28" t="s">
        <v>502</v>
      </c>
      <c r="AD37" s="28" t="s">
        <v>572</v>
      </c>
      <c r="AE37" s="28" t="s">
        <v>590</v>
      </c>
      <c r="AF37" s="2" t="s">
        <v>2628</v>
      </c>
      <c r="AG37" s="59" t="s">
        <v>1999</v>
      </c>
      <c r="AH37" s="28"/>
      <c r="AI37"/>
      <c r="AJ37" s="55" t="s">
        <v>360</v>
      </c>
      <c r="AL37" s="59" t="s">
        <v>1665</v>
      </c>
      <c r="AM37" s="59" t="s">
        <v>1666</v>
      </c>
      <c r="AN37" s="28"/>
      <c r="AO37" s="28"/>
      <c r="AP37" s="28"/>
      <c r="AQ37" s="28" t="s">
        <v>357</v>
      </c>
      <c r="AR37" s="28"/>
      <c r="AS37" s="28" t="s">
        <v>569</v>
      </c>
      <c r="AT37"/>
      <c r="AU37" s="28"/>
      <c r="AV37" s="28"/>
      <c r="AW37" s="28"/>
      <c r="AX37" s="28" t="s">
        <v>1622</v>
      </c>
      <c r="AY37"/>
      <c r="AZ37" s="28"/>
      <c r="BA37" s="28"/>
      <c r="BB37" s="28"/>
      <c r="BC37" s="28"/>
      <c r="BD37" s="28"/>
      <c r="BE37" s="28"/>
      <c r="BF37" s="28"/>
      <c r="BG37" s="28"/>
      <c r="BH37" s="59" t="s">
        <v>1668</v>
      </c>
      <c r="BI37" s="59"/>
      <c r="BJ37" s="28" t="s">
        <v>845</v>
      </c>
      <c r="BK37" s="28"/>
      <c r="BL37" s="28"/>
      <c r="BM37" s="28"/>
      <c r="BN37" s="28"/>
      <c r="BO37" s="28"/>
      <c r="BP37" s="28"/>
      <c r="BQ37" s="28"/>
      <c r="BR37" s="28"/>
      <c r="BS37" s="28" t="s">
        <v>1992</v>
      </c>
      <c r="BU37"/>
      <c r="BV37"/>
      <c r="BW37"/>
      <c r="BX37"/>
      <c r="BY37"/>
      <c r="BZ37"/>
      <c r="CA37"/>
      <c r="CB37"/>
      <c r="CC37"/>
      <c r="CD37"/>
      <c r="CE37"/>
      <c r="CF37" s="28" t="s">
        <v>1993</v>
      </c>
      <c r="CG37" s="28"/>
      <c r="CH37"/>
      <c r="CI37"/>
    </row>
    <row r="38" spans="1:87">
      <c r="A38" s="3"/>
      <c r="B38" s="28"/>
      <c r="C38" s="28"/>
      <c r="D38" s="28"/>
      <c r="E38" s="2" t="s">
        <v>1114</v>
      </c>
      <c r="F38" s="28"/>
      <c r="G38" s="2" t="s">
        <v>1138</v>
      </c>
      <c r="H38" s="42" t="s">
        <v>439</v>
      </c>
      <c r="I38" s="51" t="s">
        <v>1193</v>
      </c>
      <c r="J38" s="28"/>
      <c r="K38" s="28"/>
      <c r="L38" s="28"/>
      <c r="M38" s="51" t="s">
        <v>1012</v>
      </c>
      <c r="N38" s="51" t="s">
        <v>1012</v>
      </c>
      <c r="O38" s="51" t="s">
        <v>1012</v>
      </c>
      <c r="P38" s="51" t="s">
        <v>1012</v>
      </c>
      <c r="Q38" s="28"/>
      <c r="R38" s="41" t="s">
        <v>410</v>
      </c>
      <c r="S38" s="28"/>
      <c r="T38" s="28"/>
      <c r="U38" s="79" t="s">
        <v>1669</v>
      </c>
      <c r="V38" s="2" t="s">
        <v>1138</v>
      </c>
      <c r="W38" s="28"/>
      <c r="X38" s="28"/>
      <c r="Y38" s="28"/>
      <c r="Z38" s="28"/>
      <c r="AA38" s="28"/>
      <c r="AB38" s="28"/>
      <c r="AC38" s="28" t="s">
        <v>503</v>
      </c>
      <c r="AD38" s="28" t="s">
        <v>2629</v>
      </c>
      <c r="AE38" s="28" t="s">
        <v>591</v>
      </c>
      <c r="AF38" s="2" t="s">
        <v>2630</v>
      </c>
      <c r="AG38" s="59" t="s">
        <v>2003</v>
      </c>
      <c r="AH38" s="28"/>
      <c r="AI38" s="28"/>
      <c r="AJ38" s="59" t="s">
        <v>1670</v>
      </c>
      <c r="AL38" s="59" t="s">
        <v>1671</v>
      </c>
      <c r="AM38" s="59" t="s">
        <v>1672</v>
      </c>
      <c r="AN38" s="28"/>
      <c r="AO38" s="28"/>
      <c r="AP38" s="28"/>
      <c r="AQ38" s="28" t="s">
        <v>359</v>
      </c>
      <c r="AR38" s="28"/>
      <c r="AS38" s="28" t="s">
        <v>1208</v>
      </c>
      <c r="AT38"/>
      <c r="AU38" s="28"/>
      <c r="AV38" s="28"/>
      <c r="AW38" s="28"/>
      <c r="AX38" s="2" t="s">
        <v>1376</v>
      </c>
      <c r="AY38" s="28"/>
      <c r="AZ38" s="28"/>
      <c r="BA38" s="28"/>
      <c r="BB38" s="28"/>
      <c r="BC38" s="28"/>
      <c r="BD38" s="28"/>
      <c r="BE38" s="28"/>
      <c r="BF38" s="28"/>
      <c r="BG38" s="28"/>
      <c r="BH38" s="59" t="s">
        <v>1673</v>
      </c>
      <c r="BI38" s="59"/>
      <c r="BJ38" s="28" t="s">
        <v>847</v>
      </c>
      <c r="BK38" s="28"/>
      <c r="BL38" s="28"/>
      <c r="BM38" s="28"/>
      <c r="BN38" s="28"/>
      <c r="BO38" s="28"/>
      <c r="BP38" s="28"/>
      <c r="BQ38" s="28"/>
      <c r="BR38" s="28"/>
      <c r="BS38" s="28" t="s">
        <v>1890</v>
      </c>
      <c r="BU38"/>
      <c r="BV38"/>
      <c r="BW38"/>
      <c r="BX38"/>
      <c r="BY38"/>
      <c r="BZ38"/>
      <c r="CA38"/>
      <c r="CB38"/>
      <c r="CC38"/>
      <c r="CD38"/>
      <c r="CE38"/>
      <c r="CF38" s="28" t="s">
        <v>1997</v>
      </c>
      <c r="CG38" s="28"/>
      <c r="CH38"/>
      <c r="CI38"/>
    </row>
    <row r="39" spans="1:87">
      <c r="A39" s="3"/>
      <c r="B39" s="28"/>
      <c r="C39" s="28"/>
      <c r="D39" s="28"/>
      <c r="E39" s="2" t="s">
        <v>1119</v>
      </c>
      <c r="F39" s="28"/>
      <c r="G39" s="2" t="s">
        <v>1144</v>
      </c>
      <c r="H39" s="42" t="s">
        <v>400</v>
      </c>
      <c r="I39" s="75" t="s">
        <v>2005</v>
      </c>
      <c r="J39" s="28"/>
      <c r="K39" s="28"/>
      <c r="L39" s="28"/>
      <c r="M39" s="51" t="s">
        <v>2002</v>
      </c>
      <c r="N39" s="51" t="s">
        <v>2002</v>
      </c>
      <c r="O39" s="51" t="s">
        <v>2002</v>
      </c>
      <c r="P39" s="51" t="s">
        <v>2002</v>
      </c>
      <c r="Q39" s="28"/>
      <c r="R39" s="41" t="s">
        <v>412</v>
      </c>
      <c r="S39" s="28"/>
      <c r="T39" s="28"/>
      <c r="U39" s="79" t="s">
        <v>1675</v>
      </c>
      <c r="V39" s="2" t="s">
        <v>1144</v>
      </c>
      <c r="W39" s="28"/>
      <c r="X39" s="28"/>
      <c r="Y39" s="28"/>
      <c r="Z39" s="28"/>
      <c r="AA39" s="28"/>
      <c r="AB39" s="28"/>
      <c r="AC39" s="28" t="s">
        <v>834</v>
      </c>
      <c r="AD39" s="28" t="s">
        <v>2631</v>
      </c>
      <c r="AE39" s="28" t="s">
        <v>592</v>
      </c>
      <c r="AF39" s="28" t="s">
        <v>2632</v>
      </c>
      <c r="AG39" s="61" t="s">
        <v>315</v>
      </c>
      <c r="AH39" s="28"/>
      <c r="AI39" s="28"/>
      <c r="AJ39" s="59" t="s">
        <v>1676</v>
      </c>
      <c r="AL39" s="59" t="s">
        <v>1677</v>
      </c>
      <c r="AM39" s="59" t="s">
        <v>1678</v>
      </c>
      <c r="AN39" s="28"/>
      <c r="AO39" s="28"/>
      <c r="AP39" s="28"/>
      <c r="AQ39" s="28" t="s">
        <v>361</v>
      </c>
      <c r="AR39" s="28"/>
      <c r="AS39" s="28" t="s">
        <v>1214</v>
      </c>
      <c r="AT39" s="28"/>
      <c r="AU39" s="28"/>
      <c r="AV39" s="28"/>
      <c r="AW39" s="28"/>
      <c r="AX39" s="2" t="s">
        <v>2512</v>
      </c>
      <c r="AY39" s="28"/>
      <c r="AZ39" s="28"/>
      <c r="BA39" s="28"/>
      <c r="BB39" s="28"/>
      <c r="BC39" s="28"/>
      <c r="BD39" s="28"/>
      <c r="BE39" s="28"/>
      <c r="BF39" s="28"/>
      <c r="BG39" s="28"/>
      <c r="BH39" s="59" t="s">
        <v>1679</v>
      </c>
      <c r="BI39" s="59"/>
      <c r="BJ39" s="28" t="s">
        <v>848</v>
      </c>
      <c r="BK39" s="28"/>
      <c r="BL39" s="28"/>
      <c r="BM39" s="28"/>
      <c r="BN39" s="28"/>
      <c r="BO39" s="28"/>
      <c r="BP39" s="28"/>
      <c r="BQ39" s="28"/>
      <c r="BR39" s="28"/>
      <c r="BS39" s="28" t="s">
        <v>2000</v>
      </c>
      <c r="BV39"/>
      <c r="BW39"/>
      <c r="BX39"/>
      <c r="BY39"/>
      <c r="BZ39"/>
      <c r="CA39"/>
      <c r="CB39"/>
      <c r="CC39"/>
      <c r="CD39"/>
      <c r="CE39"/>
      <c r="CF39" s="28" t="s">
        <v>2001</v>
      </c>
      <c r="CG39" s="28"/>
      <c r="CH39"/>
      <c r="CI39"/>
    </row>
    <row r="40" spans="1:87">
      <c r="A40" s="3"/>
      <c r="B40" s="28"/>
      <c r="C40" s="28"/>
      <c r="D40" s="28"/>
      <c r="E40" s="2" t="s">
        <v>2007</v>
      </c>
      <c r="F40" s="28"/>
      <c r="G40" s="2" t="s">
        <v>2008</v>
      </c>
      <c r="H40" s="42" t="s">
        <v>1089</v>
      </c>
      <c r="I40" s="75" t="s">
        <v>1200</v>
      </c>
      <c r="J40" s="28"/>
      <c r="K40" s="28"/>
      <c r="L40" s="28"/>
      <c r="M40" s="51" t="s">
        <v>2006</v>
      </c>
      <c r="N40" s="51" t="s">
        <v>2006</v>
      </c>
      <c r="O40" s="51" t="s">
        <v>2006</v>
      </c>
      <c r="P40" s="51" t="s">
        <v>2006</v>
      </c>
      <c r="Q40" s="28"/>
      <c r="R40" s="41" t="s">
        <v>414</v>
      </c>
      <c r="S40" s="28"/>
      <c r="T40" s="28"/>
      <c r="U40" s="51" t="s">
        <v>2010</v>
      </c>
      <c r="V40" s="2" t="s">
        <v>2008</v>
      </c>
      <c r="W40" s="28"/>
      <c r="X40" s="28"/>
      <c r="Y40" s="28"/>
      <c r="Z40" s="28"/>
      <c r="AA40" s="28"/>
      <c r="AB40" s="28"/>
      <c r="AC40" s="28" t="s">
        <v>4</v>
      </c>
      <c r="AD40" s="28" t="s">
        <v>2633</v>
      </c>
      <c r="AE40" s="28" t="s">
        <v>593</v>
      </c>
      <c r="AF40" s="28" t="s">
        <v>2634</v>
      </c>
      <c r="AG40" s="62" t="s">
        <v>1682</v>
      </c>
      <c r="AI40" s="28"/>
      <c r="AJ40" s="71" t="s">
        <v>1683</v>
      </c>
      <c r="AL40" s="59" t="s">
        <v>1684</v>
      </c>
      <c r="AM40" s="59" t="s">
        <v>1685</v>
      </c>
      <c r="AN40" s="28"/>
      <c r="AO40" s="28"/>
      <c r="AP40" s="28"/>
      <c r="AQ40" s="28" t="s">
        <v>363</v>
      </c>
      <c r="AR40" s="28"/>
      <c r="AS40" s="28" t="s">
        <v>572</v>
      </c>
      <c r="AT40" s="28"/>
      <c r="AU40" s="28"/>
      <c r="AV40" s="28"/>
      <c r="AW40" s="28"/>
      <c r="AX40" s="2" t="s">
        <v>2513</v>
      </c>
      <c r="AY40" s="28"/>
      <c r="AZ40" s="28"/>
      <c r="BA40" s="28"/>
      <c r="BB40" s="28"/>
      <c r="BC40" s="28"/>
      <c r="BD40" s="28"/>
      <c r="BE40" s="28"/>
      <c r="BF40" s="28"/>
      <c r="BG40" s="28"/>
      <c r="BH40" s="28"/>
      <c r="BI40" s="28"/>
      <c r="BJ40" s="28" t="s">
        <v>850</v>
      </c>
      <c r="BK40" s="28"/>
      <c r="BL40" s="28"/>
      <c r="BM40" s="28"/>
      <c r="BN40" s="28"/>
      <c r="BO40" s="28"/>
      <c r="BP40" s="28"/>
      <c r="BQ40" s="28"/>
      <c r="BR40" s="28"/>
      <c r="BS40" s="28" t="s">
        <v>2004</v>
      </c>
      <c r="BV40"/>
      <c r="BW40"/>
      <c r="BX40"/>
      <c r="BY40"/>
      <c r="BZ40"/>
      <c r="CA40"/>
      <c r="CB40"/>
      <c r="CC40"/>
      <c r="CD40"/>
      <c r="CE40"/>
      <c r="CF40" s="28" t="s">
        <v>1674</v>
      </c>
      <c r="CG40" s="28"/>
      <c r="CH40"/>
      <c r="CI40"/>
    </row>
    <row r="41" spans="1:87">
      <c r="A41" s="3"/>
      <c r="B41" s="28"/>
      <c r="C41" s="28"/>
      <c r="D41" s="28"/>
      <c r="E41" s="2" t="s">
        <v>1126</v>
      </c>
      <c r="F41" s="28"/>
      <c r="G41" s="2" t="s">
        <v>1154</v>
      </c>
      <c r="H41" s="42" t="s">
        <v>1099</v>
      </c>
      <c r="I41" s="60" t="s">
        <v>1210</v>
      </c>
      <c r="J41" s="28"/>
      <c r="K41" s="28"/>
      <c r="L41" s="28"/>
      <c r="M41" s="51" t="s">
        <v>2009</v>
      </c>
      <c r="N41" s="51" t="s">
        <v>2009</v>
      </c>
      <c r="O41" s="51" t="s">
        <v>2009</v>
      </c>
      <c r="P41" s="51" t="s">
        <v>2009</v>
      </c>
      <c r="Q41" s="28"/>
      <c r="R41" s="28" t="s">
        <v>1013</v>
      </c>
      <c r="S41" s="28"/>
      <c r="T41" s="28"/>
      <c r="U41" s="51" t="s">
        <v>1095</v>
      </c>
      <c r="V41" s="2" t="s">
        <v>1154</v>
      </c>
      <c r="W41" s="28"/>
      <c r="X41" s="28"/>
      <c r="Y41" s="28"/>
      <c r="Z41" s="28"/>
      <c r="AA41" s="28"/>
      <c r="AB41" s="28"/>
      <c r="AC41" s="28" t="s">
        <v>504</v>
      </c>
      <c r="AD41" s="28" t="s">
        <v>2635</v>
      </c>
      <c r="AE41" s="28" t="s">
        <v>594</v>
      </c>
      <c r="AF41" s="28" t="s">
        <v>2636</v>
      </c>
      <c r="AG41" s="59" t="s">
        <v>1688</v>
      </c>
      <c r="AI41" s="28"/>
      <c r="AJ41" s="59" t="s">
        <v>1689</v>
      </c>
      <c r="AL41" s="59" t="s">
        <v>1690</v>
      </c>
      <c r="AM41" s="59" t="s">
        <v>1691</v>
      </c>
      <c r="AN41" s="28"/>
      <c r="AO41" s="28"/>
      <c r="AP41" s="28"/>
      <c r="AQ41" s="28" t="s">
        <v>365</v>
      </c>
      <c r="AR41" s="28"/>
      <c r="AS41" s="28" t="s">
        <v>1226</v>
      </c>
      <c r="AT41" s="28"/>
      <c r="AU41" s="28"/>
      <c r="AV41" s="28"/>
      <c r="AW41" s="28"/>
      <c r="AX41" s="2" t="s">
        <v>1637</v>
      </c>
      <c r="AY41" s="28"/>
      <c r="AZ41" s="28"/>
      <c r="BA41" s="28"/>
      <c r="BB41" s="28"/>
      <c r="BC41" s="28"/>
      <c r="BD41" s="28"/>
      <c r="BE41" s="28"/>
      <c r="BF41" s="28"/>
      <c r="BG41" s="28"/>
      <c r="BH41" s="28"/>
      <c r="BI41" s="28"/>
      <c r="BJ41" s="28" t="s">
        <v>851</v>
      </c>
      <c r="BK41" s="28"/>
      <c r="BL41" s="28"/>
      <c r="BM41" s="28"/>
      <c r="BN41" s="28"/>
      <c r="BO41" s="28"/>
      <c r="BP41" s="28"/>
      <c r="BQ41" s="28"/>
      <c r="BR41" s="28"/>
      <c r="BS41" s="28" t="s">
        <v>1680</v>
      </c>
      <c r="BU41"/>
      <c r="BV41"/>
      <c r="BW41"/>
      <c r="BX41"/>
      <c r="BY41"/>
      <c r="BZ41"/>
      <c r="CA41"/>
      <c r="CB41"/>
      <c r="CC41"/>
      <c r="CD41"/>
      <c r="CE41"/>
      <c r="CF41" s="28" t="s">
        <v>1681</v>
      </c>
      <c r="CG41" s="28"/>
      <c r="CH41"/>
      <c r="CI41"/>
    </row>
    <row r="42" spans="1:87">
      <c r="A42" s="3"/>
      <c r="B42" s="28"/>
      <c r="C42" s="28"/>
      <c r="D42" s="28"/>
      <c r="E42" s="2" t="s">
        <v>1132</v>
      </c>
      <c r="F42" s="28"/>
      <c r="G42" s="2" t="s">
        <v>1160</v>
      </c>
      <c r="H42" s="28" t="s">
        <v>1186</v>
      </c>
      <c r="I42" s="60" t="s">
        <v>2014</v>
      </c>
      <c r="J42" s="28"/>
      <c r="K42" s="28"/>
      <c r="L42" s="28"/>
      <c r="M42" s="51" t="s">
        <v>2012</v>
      </c>
      <c r="N42" s="51" t="s">
        <v>2012</v>
      </c>
      <c r="O42" s="51" t="s">
        <v>2012</v>
      </c>
      <c r="P42" s="51" t="s">
        <v>2012</v>
      </c>
      <c r="Q42" s="28"/>
      <c r="R42" s="28" t="s">
        <v>1026</v>
      </c>
      <c r="S42" s="28"/>
      <c r="T42" s="28"/>
      <c r="U42" s="51" t="s">
        <v>2016</v>
      </c>
      <c r="V42" s="2" t="s">
        <v>1160</v>
      </c>
      <c r="W42" s="28"/>
      <c r="X42" s="28"/>
      <c r="Y42" s="28"/>
      <c r="Z42" s="28"/>
      <c r="AA42" s="28"/>
      <c r="AB42" s="28"/>
      <c r="AC42" s="28" t="s">
        <v>505</v>
      </c>
      <c r="AD42" s="28" t="s">
        <v>2637</v>
      </c>
      <c r="AE42" s="28" t="s">
        <v>595</v>
      </c>
      <c r="AF42" s="28" t="s">
        <v>2638</v>
      </c>
      <c r="AG42" s="59" t="s">
        <v>1692</v>
      </c>
      <c r="AI42" s="28"/>
      <c r="AJ42" s="59" t="s">
        <v>1693</v>
      </c>
      <c r="AL42" s="59" t="s">
        <v>1694</v>
      </c>
      <c r="AM42" s="59" t="s">
        <v>1695</v>
      </c>
      <c r="AN42" s="28"/>
      <c r="AO42" s="28"/>
      <c r="AP42" s="28"/>
      <c r="AQ42" s="28" t="s">
        <v>367</v>
      </c>
      <c r="AR42" s="28"/>
      <c r="AS42" s="28" t="s">
        <v>1230</v>
      </c>
      <c r="AT42" s="28"/>
      <c r="AU42" s="28"/>
      <c r="AV42" s="28"/>
      <c r="AW42" s="28"/>
      <c r="AX42" s="28" t="s">
        <v>801</v>
      </c>
      <c r="AY42" s="28"/>
      <c r="AZ42" s="28"/>
      <c r="BA42" s="28"/>
      <c r="BB42" s="28"/>
      <c r="BC42" s="28"/>
      <c r="BD42" s="28"/>
      <c r="BE42" s="28"/>
      <c r="BF42" s="28"/>
      <c r="BG42" s="28"/>
      <c r="BH42" s="28"/>
      <c r="BI42" s="28"/>
      <c r="BJ42" s="28" t="s">
        <v>854</v>
      </c>
      <c r="BK42" s="28"/>
      <c r="BL42" s="28"/>
      <c r="BM42" s="28"/>
      <c r="BN42" s="28"/>
      <c r="BO42" s="28"/>
      <c r="BP42" s="28"/>
      <c r="BQ42" s="28"/>
      <c r="BR42" s="28"/>
      <c r="BS42" s="28" t="s">
        <v>1687</v>
      </c>
      <c r="BU42"/>
      <c r="BV42"/>
      <c r="BW42"/>
      <c r="BX42"/>
      <c r="BY42"/>
      <c r="BZ42"/>
      <c r="CA42"/>
      <c r="CB42"/>
      <c r="CC42"/>
      <c r="CD42"/>
      <c r="CE42"/>
      <c r="CF42" s="28" t="s">
        <v>2011</v>
      </c>
      <c r="CG42" s="28"/>
      <c r="CH42"/>
      <c r="CI42"/>
    </row>
    <row r="43" spans="1:87">
      <c r="A43" s="3"/>
      <c r="B43" s="28"/>
      <c r="C43" s="28"/>
      <c r="D43" s="28"/>
      <c r="E43" s="2" t="s">
        <v>1139</v>
      </c>
      <c r="F43" s="28"/>
      <c r="G43" s="2" t="s">
        <v>1166</v>
      </c>
      <c r="H43" s="28" t="s">
        <v>1192</v>
      </c>
      <c r="I43" s="60" t="s">
        <v>1393</v>
      </c>
      <c r="J43" s="28"/>
      <c r="K43" s="28"/>
      <c r="L43" s="28"/>
      <c r="M43" s="51" t="s">
        <v>2015</v>
      </c>
      <c r="N43" s="51" t="s">
        <v>2015</v>
      </c>
      <c r="O43" s="51" t="s">
        <v>2015</v>
      </c>
      <c r="P43" s="51" t="s">
        <v>2015</v>
      </c>
      <c r="Q43" s="28"/>
      <c r="R43" s="28" t="s">
        <v>1038</v>
      </c>
      <c r="S43" s="28"/>
      <c r="T43" s="28"/>
      <c r="U43" s="51" t="s">
        <v>2018</v>
      </c>
      <c r="V43" s="2" t="s">
        <v>1166</v>
      </c>
      <c r="W43" s="28"/>
      <c r="X43" s="28"/>
      <c r="Y43" s="28"/>
      <c r="Z43" s="28"/>
      <c r="AA43" s="28"/>
      <c r="AB43" s="28"/>
      <c r="AC43" s="28" t="s">
        <v>1196</v>
      </c>
      <c r="AD43" s="28" t="s">
        <v>2566</v>
      </c>
      <c r="AE43" s="28" t="s">
        <v>596</v>
      </c>
      <c r="AF43" s="28" t="s">
        <v>2639</v>
      </c>
      <c r="AG43" s="59" t="s">
        <v>1696</v>
      </c>
      <c r="AI43" s="28"/>
      <c r="AJ43" s="59" t="s">
        <v>1697</v>
      </c>
      <c r="AL43" s="59" t="s">
        <v>1698</v>
      </c>
      <c r="AM43" s="59" t="s">
        <v>1699</v>
      </c>
      <c r="AN43" s="28"/>
      <c r="AO43" s="28"/>
      <c r="AP43" s="28"/>
      <c r="AQ43" s="28" t="s">
        <v>428</v>
      </c>
      <c r="AR43" s="28"/>
      <c r="AS43" s="28" t="s">
        <v>1234</v>
      </c>
      <c r="AT43" s="28"/>
      <c r="AU43" s="28"/>
      <c r="AV43" s="28"/>
      <c r="AW43" s="28"/>
      <c r="AX43" s="2" t="s">
        <v>1378</v>
      </c>
      <c r="AY43" s="28"/>
      <c r="AZ43" s="28"/>
      <c r="BA43" s="28"/>
      <c r="BB43" s="28"/>
      <c r="BC43" s="28"/>
      <c r="BD43" s="28"/>
      <c r="BE43" s="28"/>
      <c r="BF43" s="28"/>
      <c r="BG43" s="28"/>
      <c r="BH43" s="28"/>
      <c r="BI43" s="28"/>
      <c r="BJ43" s="28" t="s">
        <v>857</v>
      </c>
      <c r="BK43" s="28"/>
      <c r="BL43" s="28"/>
      <c r="BM43" s="28"/>
      <c r="BN43" s="28"/>
      <c r="BO43" s="28"/>
      <c r="BP43" s="28"/>
      <c r="BQ43" s="28"/>
      <c r="BR43" s="28"/>
      <c r="BS43" s="28" t="s">
        <v>1897</v>
      </c>
      <c r="BU43"/>
      <c r="BV43"/>
      <c r="BW43"/>
      <c r="BX43"/>
      <c r="BY43"/>
      <c r="BZ43"/>
      <c r="CA43"/>
      <c r="CB43"/>
      <c r="CC43"/>
      <c r="CD43"/>
      <c r="CE43"/>
      <c r="CF43" s="28" t="s">
        <v>2013</v>
      </c>
      <c r="CG43" s="28"/>
      <c r="CH43"/>
      <c r="CI43"/>
    </row>
    <row r="44" spans="1:87">
      <c r="A44" s="3"/>
      <c r="B44" s="28"/>
      <c r="C44" s="28"/>
      <c r="D44" s="28"/>
      <c r="E44" s="39" t="s">
        <v>1702</v>
      </c>
      <c r="F44" s="28"/>
      <c r="G44" s="2" t="s">
        <v>1172</v>
      </c>
      <c r="H44" s="28" t="s">
        <v>1120</v>
      </c>
      <c r="I44" s="51" t="s">
        <v>2019</v>
      </c>
      <c r="J44" s="28"/>
      <c r="K44" s="28"/>
      <c r="L44" s="28"/>
      <c r="M44" s="51" t="s">
        <v>1025</v>
      </c>
      <c r="N44" s="51" t="s">
        <v>1025</v>
      </c>
      <c r="O44" s="51" t="s">
        <v>1025</v>
      </c>
      <c r="P44" s="51" t="s">
        <v>1025</v>
      </c>
      <c r="Q44" s="28"/>
      <c r="R44" s="28" t="s">
        <v>1051</v>
      </c>
      <c r="S44" s="28"/>
      <c r="T44" s="28"/>
      <c r="U44" t="s">
        <v>1104</v>
      </c>
      <c r="V44" s="2" t="s">
        <v>1172</v>
      </c>
      <c r="W44" s="28"/>
      <c r="X44" s="28"/>
      <c r="Y44" s="28"/>
      <c r="Z44" s="28"/>
      <c r="AA44" s="28"/>
      <c r="AB44" s="28"/>
      <c r="AC44" s="28" t="s">
        <v>843</v>
      </c>
      <c r="AD44" s="28" t="s">
        <v>2640</v>
      </c>
      <c r="AE44" s="28" t="s">
        <v>597</v>
      </c>
      <c r="AF44" s="2" t="s">
        <v>2641</v>
      </c>
      <c r="AG44" s="71" t="s">
        <v>1703</v>
      </c>
      <c r="AI44" s="28"/>
      <c r="AJ44" s="59" t="s">
        <v>1704</v>
      </c>
      <c r="AL44" s="59" t="s">
        <v>1705</v>
      </c>
      <c r="AM44" s="59" t="s">
        <v>1706</v>
      </c>
      <c r="AN44" s="28"/>
      <c r="AO44" s="28"/>
      <c r="AP44" s="28"/>
      <c r="AQ44" s="28" t="s">
        <v>429</v>
      </c>
      <c r="AR44" s="28"/>
      <c r="AS44" s="28" t="s">
        <v>1239</v>
      </c>
      <c r="AT44" s="28"/>
      <c r="AU44" s="28"/>
      <c r="AV44" s="28"/>
      <c r="AW44" s="28"/>
      <c r="AX44" s="2" t="s">
        <v>2514</v>
      </c>
      <c r="AY44" s="28"/>
      <c r="AZ44" s="28"/>
      <c r="BA44" s="28"/>
      <c r="BB44" s="28"/>
      <c r="BC44" s="28"/>
      <c r="BD44" s="28"/>
      <c r="BE44" s="28"/>
      <c r="BF44" s="28"/>
      <c r="BG44" s="28"/>
      <c r="BH44" s="28"/>
      <c r="BI44" s="28"/>
      <c r="BJ44" s="28" t="s">
        <v>860</v>
      </c>
      <c r="BK44" s="28"/>
      <c r="BL44" s="28"/>
      <c r="BM44" s="28"/>
      <c r="BN44" s="28"/>
      <c r="BO44" s="28"/>
      <c r="BP44" s="28"/>
      <c r="BQ44" s="28"/>
      <c r="BR44" s="28"/>
      <c r="BS44" s="28" t="s">
        <v>1903</v>
      </c>
      <c r="BU44"/>
      <c r="BV44"/>
      <c r="BW44"/>
      <c r="BX44"/>
      <c r="BY44"/>
      <c r="BZ44"/>
      <c r="CA44"/>
      <c r="CB44"/>
      <c r="CC44"/>
      <c r="CD44"/>
      <c r="CE44"/>
      <c r="CF44" s="28" t="s">
        <v>2017</v>
      </c>
      <c r="CG44" s="28"/>
      <c r="CH44"/>
      <c r="CI44"/>
    </row>
    <row r="45" spans="1:87">
      <c r="A45" s="3"/>
      <c r="B45" s="28"/>
      <c r="C45" s="28"/>
      <c r="D45" s="28"/>
      <c r="E45" s="39" t="s">
        <v>2021</v>
      </c>
      <c r="F45" s="28"/>
      <c r="G45" s="44" t="s">
        <v>1177</v>
      </c>
      <c r="H45" s="28" t="s">
        <v>1127</v>
      </c>
      <c r="I45" s="51" t="s">
        <v>2022</v>
      </c>
      <c r="J45" s="28"/>
      <c r="K45" s="28"/>
      <c r="L45" s="28"/>
      <c r="M45" s="51" t="s">
        <v>1037</v>
      </c>
      <c r="N45" s="51" t="s">
        <v>1037</v>
      </c>
      <c r="O45" s="51" t="s">
        <v>1037</v>
      </c>
      <c r="P45" s="51" t="s">
        <v>1037</v>
      </c>
      <c r="Q45" s="28"/>
      <c r="R45" s="28" t="s">
        <v>1061</v>
      </c>
      <c r="S45" s="28"/>
      <c r="T45" s="28"/>
      <c r="U45" t="s">
        <v>419</v>
      </c>
      <c r="V45" s="44" t="s">
        <v>1177</v>
      </c>
      <c r="W45" s="28"/>
      <c r="X45" s="28"/>
      <c r="Y45" s="28"/>
      <c r="Z45" s="28"/>
      <c r="AA45" s="28"/>
      <c r="AB45" s="28"/>
      <c r="AC45" s="28" t="s">
        <v>586</v>
      </c>
      <c r="AD45" s="28" t="s">
        <v>2642</v>
      </c>
      <c r="AE45" s="28" t="s">
        <v>598</v>
      </c>
      <c r="AF45" s="28" t="s">
        <v>2643</v>
      </c>
      <c r="AG45" s="61" t="s">
        <v>335</v>
      </c>
      <c r="AI45" s="28"/>
      <c r="AJ45" s="59" t="s">
        <v>2023</v>
      </c>
      <c r="AL45" s="59" t="s">
        <v>1708</v>
      </c>
      <c r="AM45" s="59" t="s">
        <v>2024</v>
      </c>
      <c r="AN45" s="28"/>
      <c r="AO45" s="28"/>
      <c r="AP45" s="28"/>
      <c r="AQ45" s="28" t="s">
        <v>430</v>
      </c>
      <c r="AR45" s="28"/>
      <c r="AS45" s="28" t="s">
        <v>575</v>
      </c>
      <c r="AT45" s="28"/>
      <c r="AU45" s="28"/>
      <c r="AV45" s="28"/>
      <c r="AW45" s="28"/>
      <c r="AX45" s="28" t="s">
        <v>805</v>
      </c>
      <c r="AY45" s="28"/>
      <c r="AZ45" s="28"/>
      <c r="BA45" s="28"/>
      <c r="BB45" s="28"/>
      <c r="BC45" s="28"/>
      <c r="BD45" s="28"/>
      <c r="BE45" s="28"/>
      <c r="BF45" s="28"/>
      <c r="BG45" s="28"/>
      <c r="BH45" s="28"/>
      <c r="BI45" s="28"/>
      <c r="BJ45" s="28" t="s">
        <v>861</v>
      </c>
      <c r="BK45" s="28"/>
      <c r="BL45" s="28"/>
      <c r="BM45" s="28"/>
      <c r="BN45" s="28"/>
      <c r="BO45" s="28"/>
      <c r="BP45" s="28"/>
      <c r="BQ45" s="28"/>
      <c r="BR45" s="28"/>
      <c r="BS45" s="28" t="s">
        <v>1910</v>
      </c>
      <c r="BU45"/>
      <c r="BV45"/>
      <c r="BW45"/>
      <c r="BX45"/>
      <c r="BY45"/>
      <c r="BZ45"/>
      <c r="CA45"/>
      <c r="CB45"/>
      <c r="CC45"/>
      <c r="CD45"/>
      <c r="CE45"/>
      <c r="CF45" s="28" t="s">
        <v>1701</v>
      </c>
      <c r="CG45" s="28"/>
      <c r="CH45"/>
      <c r="CI45"/>
    </row>
    <row r="46" spans="1:87">
      <c r="A46" s="3"/>
      <c r="B46" s="28"/>
      <c r="C46" s="28"/>
      <c r="D46" s="28"/>
      <c r="E46" s="39" t="s">
        <v>2026</v>
      </c>
      <c r="F46" s="28"/>
      <c r="G46" s="44" t="s">
        <v>2027</v>
      </c>
      <c r="H46" s="28" t="s">
        <v>1133</v>
      </c>
      <c r="I46" s="51" t="s">
        <v>1216</v>
      </c>
      <c r="J46" s="28"/>
      <c r="K46" s="28"/>
      <c r="L46" s="28"/>
      <c r="M46" s="51" t="s">
        <v>1050</v>
      </c>
      <c r="N46" s="51" t="s">
        <v>1050</v>
      </c>
      <c r="O46" s="51" t="s">
        <v>1050</v>
      </c>
      <c r="P46" s="51" t="s">
        <v>1050</v>
      </c>
      <c r="Q46" s="28"/>
      <c r="R46" s="2" t="s">
        <v>2029</v>
      </c>
      <c r="S46" s="28"/>
      <c r="T46" s="28"/>
      <c r="U46" s="51" t="s">
        <v>2030</v>
      </c>
      <c r="V46" s="44" t="s">
        <v>2027</v>
      </c>
      <c r="W46" s="28"/>
      <c r="X46" s="28"/>
      <c r="Y46" s="28"/>
      <c r="Z46" s="28"/>
      <c r="AA46" s="28"/>
      <c r="AB46" s="28"/>
      <c r="AC46" s="28" t="s">
        <v>588</v>
      </c>
      <c r="AD46" s="28" t="s">
        <v>2644</v>
      </c>
      <c r="AE46" s="28" t="s">
        <v>599</v>
      </c>
      <c r="AF46" s="28" t="s">
        <v>2645</v>
      </c>
      <c r="AG46" s="59" t="s">
        <v>1710</v>
      </c>
      <c r="AI46" s="28"/>
      <c r="AJ46" s="59" t="s">
        <v>2031</v>
      </c>
      <c r="AL46" s="59" t="s">
        <v>1711</v>
      </c>
      <c r="AM46" s="59" t="s">
        <v>2032</v>
      </c>
      <c r="AN46" s="28"/>
      <c r="AO46" s="28"/>
      <c r="AP46" s="28"/>
      <c r="AQ46" s="28" t="s">
        <v>431</v>
      </c>
      <c r="AR46" s="28"/>
      <c r="AS46" s="28" t="s">
        <v>577</v>
      </c>
      <c r="AT46" s="28"/>
      <c r="AU46" s="28"/>
      <c r="AV46" s="28"/>
      <c r="AW46" s="28"/>
      <c r="AX46" s="28" t="s">
        <v>808</v>
      </c>
      <c r="AY46" s="28"/>
      <c r="AZ46" s="28"/>
      <c r="BA46" s="28"/>
      <c r="BB46" s="28"/>
      <c r="BC46" s="28"/>
      <c r="BD46" s="28"/>
      <c r="BE46" s="28"/>
      <c r="BF46" s="28"/>
      <c r="BG46" s="28"/>
      <c r="BH46" s="28"/>
      <c r="BI46" s="28"/>
      <c r="BJ46" s="28" t="s">
        <v>862</v>
      </c>
      <c r="BK46" s="28"/>
      <c r="BL46" s="28"/>
      <c r="BM46" s="28"/>
      <c r="BN46" s="28"/>
      <c r="BO46" s="28"/>
      <c r="BP46" s="28"/>
      <c r="BQ46" s="28"/>
      <c r="BR46" s="28"/>
      <c r="BS46" s="28" t="s">
        <v>1707</v>
      </c>
      <c r="BT46" s="28"/>
      <c r="BU46"/>
      <c r="BV46"/>
      <c r="BW46"/>
      <c r="BX46"/>
      <c r="BY46"/>
      <c r="BZ46"/>
      <c r="CA46"/>
      <c r="CB46"/>
      <c r="CC46"/>
      <c r="CD46"/>
      <c r="CE46"/>
      <c r="CF46" s="28" t="s">
        <v>2020</v>
      </c>
      <c r="CG46" s="28"/>
      <c r="CH46"/>
      <c r="CI46"/>
    </row>
    <row r="47" spans="1:87">
      <c r="A47" s="3"/>
      <c r="B47" s="28"/>
      <c r="C47" s="28"/>
      <c r="D47" s="28"/>
      <c r="E47" s="39" t="s">
        <v>2034</v>
      </c>
      <c r="F47" s="28"/>
      <c r="G47" s="44" t="s">
        <v>2035</v>
      </c>
      <c r="H47" s="28" t="s">
        <v>1140</v>
      </c>
      <c r="I47" s="80" t="s">
        <v>1712</v>
      </c>
      <c r="J47" s="28"/>
      <c r="K47" s="28"/>
      <c r="L47" s="28"/>
      <c r="M47" s="51" t="s">
        <v>2541</v>
      </c>
      <c r="N47" s="51" t="s">
        <v>2541</v>
      </c>
      <c r="O47" s="51" t="s">
        <v>2541</v>
      </c>
      <c r="P47" s="51" t="s">
        <v>2541</v>
      </c>
      <c r="Q47" s="28"/>
      <c r="R47" s="2" t="s">
        <v>2037</v>
      </c>
      <c r="S47" s="28"/>
      <c r="T47" s="28"/>
      <c r="U47" s="51" t="s">
        <v>1713</v>
      </c>
      <c r="V47" s="44" t="s">
        <v>2035</v>
      </c>
      <c r="W47" s="28"/>
      <c r="X47" s="28"/>
      <c r="Y47" s="28"/>
      <c r="Z47" s="28"/>
      <c r="AA47" s="28"/>
      <c r="AB47" s="28"/>
      <c r="AC47" s="28" t="s">
        <v>849</v>
      </c>
      <c r="AD47" s="28" t="s">
        <v>497</v>
      </c>
      <c r="AE47" s="28" t="s">
        <v>600</v>
      </c>
      <c r="AF47" s="28" t="s">
        <v>2646</v>
      </c>
      <c r="AG47" s="59" t="s">
        <v>1714</v>
      </c>
      <c r="AI47" s="28"/>
      <c r="AJ47" s="59" t="s">
        <v>2038</v>
      </c>
      <c r="AL47" s="59" t="s">
        <v>1715</v>
      </c>
      <c r="AM47" s="59" t="s">
        <v>2039</v>
      </c>
      <c r="AN47" s="28"/>
      <c r="AO47" s="28"/>
      <c r="AP47" s="28"/>
      <c r="AQ47" s="28" t="s">
        <v>432</v>
      </c>
      <c r="AR47" s="28"/>
      <c r="AS47" s="28" t="s">
        <v>579</v>
      </c>
      <c r="AT47" s="28"/>
      <c r="AU47" s="28"/>
      <c r="AV47" s="28"/>
      <c r="AW47" s="28"/>
      <c r="AX47" s="28" t="s">
        <v>1667</v>
      </c>
      <c r="AY47" s="28"/>
      <c r="AZ47" s="28"/>
      <c r="BA47" s="28"/>
      <c r="BB47" s="28"/>
      <c r="BC47" s="28"/>
      <c r="BD47" s="28"/>
      <c r="BE47" s="28"/>
      <c r="BF47" s="28"/>
      <c r="BG47" s="28"/>
      <c r="BH47" s="28"/>
      <c r="BI47" s="28"/>
      <c r="BJ47" s="28" t="s">
        <v>864</v>
      </c>
      <c r="BK47" s="28"/>
      <c r="BL47" s="28"/>
      <c r="BM47" s="28"/>
      <c r="BN47" s="28"/>
      <c r="BO47" s="28"/>
      <c r="BP47" s="28"/>
      <c r="BQ47" s="28"/>
      <c r="BR47" s="28"/>
      <c r="BS47" s="28" t="s">
        <v>1914</v>
      </c>
      <c r="BT47" s="28"/>
      <c r="BU47"/>
      <c r="BV47"/>
      <c r="BW47"/>
      <c r="BX47"/>
      <c r="BY47"/>
      <c r="BZ47"/>
      <c r="CA47"/>
      <c r="CB47"/>
      <c r="CC47"/>
      <c r="CD47"/>
      <c r="CE47"/>
      <c r="CF47" s="28" t="s">
        <v>2025</v>
      </c>
      <c r="CG47" s="28"/>
      <c r="CH47"/>
      <c r="CI47"/>
    </row>
    <row r="48" spans="1:87">
      <c r="A48"/>
      <c r="E48" s="39" t="s">
        <v>2041</v>
      </c>
      <c r="F48" s="28"/>
      <c r="G48" s="44" t="s">
        <v>2042</v>
      </c>
      <c r="H48" s="28" t="s">
        <v>1146</v>
      </c>
      <c r="I48" s="51" t="s">
        <v>2043</v>
      </c>
      <c r="M48" s="51" t="s">
        <v>2028</v>
      </c>
      <c r="N48" s="51" t="s">
        <v>2028</v>
      </c>
      <c r="O48" s="51" t="s">
        <v>2028</v>
      </c>
      <c r="P48" s="51" t="s">
        <v>2028</v>
      </c>
      <c r="R48" s="2" t="s">
        <v>2045</v>
      </c>
      <c r="S48" s="28"/>
      <c r="T48" s="28"/>
      <c r="U48" s="51" t="s">
        <v>2046</v>
      </c>
      <c r="V48" s="44" t="s">
        <v>2042</v>
      </c>
      <c r="X48" s="28"/>
      <c r="Y48" s="28"/>
      <c r="Z48" s="28"/>
      <c r="AA48" s="28"/>
      <c r="AC48" s="28" t="s">
        <v>508</v>
      </c>
      <c r="AD48" s="28" t="s">
        <v>2647</v>
      </c>
      <c r="AE48" s="2" t="s">
        <v>601</v>
      </c>
      <c r="AF48" s="28" t="s">
        <v>2567</v>
      </c>
      <c r="AG48" s="71" t="s">
        <v>1716</v>
      </c>
      <c r="AJ48" s="71" t="s">
        <v>1717</v>
      </c>
      <c r="AL48" s="59" t="s">
        <v>1718</v>
      </c>
      <c r="AM48" s="59" t="s">
        <v>2047</v>
      </c>
      <c r="AP48" s="28"/>
      <c r="AS48" s="2" t="s">
        <v>1260</v>
      </c>
      <c r="AT48" s="28"/>
      <c r="AX48" s="28" t="s">
        <v>811</v>
      </c>
      <c r="BA48" s="28"/>
      <c r="BJ48" s="28" t="s">
        <v>866</v>
      </c>
      <c r="BL48" s="28"/>
      <c r="BP48" s="28"/>
      <c r="BR48" s="28"/>
      <c r="BS48" s="28" t="s">
        <v>1919</v>
      </c>
      <c r="BU48"/>
      <c r="BV48"/>
      <c r="BW48"/>
      <c r="BX48"/>
      <c r="BY48"/>
      <c r="BZ48"/>
      <c r="CA48"/>
      <c r="CB48"/>
      <c r="CC48"/>
      <c r="CD48"/>
      <c r="CE48"/>
      <c r="CF48" s="28" t="s">
        <v>2033</v>
      </c>
      <c r="CG48" s="28"/>
      <c r="CH48"/>
      <c r="CI48"/>
    </row>
    <row r="49" spans="1:87">
      <c r="A49"/>
      <c r="E49" s="39" t="s">
        <v>2048</v>
      </c>
      <c r="G49" s="2" t="s">
        <v>2049</v>
      </c>
      <c r="H49" s="28" t="s">
        <v>1157</v>
      </c>
      <c r="I49" s="51" t="s">
        <v>1394</v>
      </c>
      <c r="M49" s="51" t="s">
        <v>2036</v>
      </c>
      <c r="N49" s="51" t="s">
        <v>2036</v>
      </c>
      <c r="O49" s="51" t="s">
        <v>2036</v>
      </c>
      <c r="P49" s="51" t="s">
        <v>2036</v>
      </c>
      <c r="R49" s="2" t="s">
        <v>2051</v>
      </c>
      <c r="S49" s="28"/>
      <c r="T49" s="28"/>
      <c r="U49" t="s">
        <v>663</v>
      </c>
      <c r="V49" s="2" t="s">
        <v>2049</v>
      </c>
      <c r="X49" s="28"/>
      <c r="Z49" s="28"/>
      <c r="AA49" s="28"/>
      <c r="AC49" s="28" t="s">
        <v>1719</v>
      </c>
      <c r="AD49" s="28" t="s">
        <v>2648</v>
      </c>
      <c r="AF49" s="28" t="s">
        <v>2568</v>
      </c>
      <c r="AG49" s="59" t="s">
        <v>1720</v>
      </c>
      <c r="AJ49" s="59" t="s">
        <v>2052</v>
      </c>
      <c r="AL49" s="59" t="s">
        <v>1721</v>
      </c>
      <c r="AM49" s="59" t="s">
        <v>1722</v>
      </c>
      <c r="AS49" s="2" t="s">
        <v>1266</v>
      </c>
      <c r="AX49" s="2" t="s">
        <v>1380</v>
      </c>
      <c r="BJ49" s="28" t="s">
        <v>867</v>
      </c>
      <c r="BP49" s="28"/>
      <c r="BR49" s="28"/>
      <c r="BS49" s="28" t="s">
        <v>2040</v>
      </c>
      <c r="BU49"/>
      <c r="BV49"/>
      <c r="BW49"/>
      <c r="BX49"/>
      <c r="BY49"/>
      <c r="BZ49"/>
      <c r="CA49"/>
      <c r="CB49"/>
      <c r="CC49"/>
      <c r="CD49"/>
      <c r="CE49"/>
      <c r="CF49" s="28" t="s">
        <v>1454</v>
      </c>
      <c r="CG49" s="43"/>
      <c r="CH49"/>
      <c r="CI49"/>
    </row>
    <row r="50" spans="1:87">
      <c r="A50"/>
      <c r="E50" s="39" t="s">
        <v>2053</v>
      </c>
      <c r="G50" s="2" t="s">
        <v>2054</v>
      </c>
      <c r="H50" s="28" t="s">
        <v>1162</v>
      </c>
      <c r="I50" s="51" t="s">
        <v>2055</v>
      </c>
      <c r="M50" s="51" t="s">
        <v>2044</v>
      </c>
      <c r="N50" s="51" t="s">
        <v>2044</v>
      </c>
      <c r="O50" s="51" t="s">
        <v>2044</v>
      </c>
      <c r="P50" s="51" t="s">
        <v>2044</v>
      </c>
      <c r="R50" s="2" t="s">
        <v>2057</v>
      </c>
      <c r="S50" s="28"/>
      <c r="U50" t="s">
        <v>420</v>
      </c>
      <c r="V50" s="2" t="s">
        <v>2054</v>
      </c>
      <c r="Z50" s="28"/>
      <c r="AA50" s="28"/>
      <c r="AC50" s="28" t="s">
        <v>1383</v>
      </c>
      <c r="AD50" s="28" t="s">
        <v>2649</v>
      </c>
      <c r="AF50" s="28" t="s">
        <v>2650</v>
      </c>
      <c r="AG50" s="59" t="s">
        <v>1723</v>
      </c>
      <c r="AJ50" s="55" t="s">
        <v>2058</v>
      </c>
      <c r="AL50" s="59"/>
      <c r="AS50"/>
      <c r="AX50" s="2" t="s">
        <v>1686</v>
      </c>
      <c r="BJ50" s="28" t="s">
        <v>868</v>
      </c>
      <c r="BP50" s="28"/>
      <c r="BS50" s="28" t="s">
        <v>2784</v>
      </c>
      <c r="BU50"/>
      <c r="BV50"/>
      <c r="BW50"/>
      <c r="BX50"/>
      <c r="BY50"/>
      <c r="BZ50"/>
      <c r="CA50"/>
      <c r="CB50"/>
      <c r="CC50"/>
      <c r="CD50"/>
      <c r="CE50"/>
      <c r="CF50" s="28" t="s">
        <v>1465</v>
      </c>
      <c r="CG50" s="28"/>
      <c r="CH50"/>
      <c r="CI50"/>
    </row>
    <row r="51" spans="1:87">
      <c r="A51"/>
      <c r="E51" s="39" t="s">
        <v>2059</v>
      </c>
      <c r="G51" s="44" t="s">
        <v>1183</v>
      </c>
      <c r="H51" s="28" t="s">
        <v>1168</v>
      </c>
      <c r="I51" s="51" t="s">
        <v>2060</v>
      </c>
      <c r="M51" s="51" t="s">
        <v>2050</v>
      </c>
      <c r="N51" s="51" t="s">
        <v>2050</v>
      </c>
      <c r="O51" s="51" t="s">
        <v>2050</v>
      </c>
      <c r="P51" s="51" t="s">
        <v>2050</v>
      </c>
      <c r="R51" s="2" t="s">
        <v>2062</v>
      </c>
      <c r="S51" s="28"/>
      <c r="U51" s="51" t="s">
        <v>2063</v>
      </c>
      <c r="V51" s="44" t="s">
        <v>1183</v>
      </c>
      <c r="Z51" s="28"/>
      <c r="AA51" s="2"/>
      <c r="AC51" s="28" t="s">
        <v>509</v>
      </c>
      <c r="AD51" s="28" t="s">
        <v>2651</v>
      </c>
      <c r="AF51" s="28" t="s">
        <v>2652</v>
      </c>
      <c r="AG51" s="61" t="s">
        <v>339</v>
      </c>
      <c r="AJ51" s="55" t="s">
        <v>362</v>
      </c>
      <c r="AL51" s="59"/>
      <c r="AX51" s="2" t="s">
        <v>2515</v>
      </c>
      <c r="BJ51" s="28" t="s">
        <v>870</v>
      </c>
      <c r="BP51" s="28"/>
      <c r="BS51" s="28"/>
      <c r="BU51"/>
      <c r="BV51"/>
      <c r="BW51"/>
      <c r="BX51"/>
      <c r="BY51"/>
      <c r="BZ51"/>
      <c r="CA51"/>
      <c r="CB51"/>
      <c r="CC51"/>
      <c r="CD51"/>
      <c r="CE51"/>
      <c r="CF51" s="28" t="s">
        <v>1478</v>
      </c>
      <c r="CG51" s="28"/>
      <c r="CH51"/>
      <c r="CI51"/>
    </row>
    <row r="52" spans="1:87">
      <c r="A52"/>
      <c r="E52" s="2" t="s">
        <v>2064</v>
      </c>
      <c r="G52" s="44" t="s">
        <v>1189</v>
      </c>
      <c r="H52" s="28" t="s">
        <v>1726</v>
      </c>
      <c r="I52" s="51" t="s">
        <v>2065</v>
      </c>
      <c r="M52" s="51" t="s">
        <v>2056</v>
      </c>
      <c r="N52" s="51" t="s">
        <v>2056</v>
      </c>
      <c r="O52" s="51" t="s">
        <v>2056</v>
      </c>
      <c r="P52" s="51" t="s">
        <v>2056</v>
      </c>
      <c r="R52" s="2" t="s">
        <v>2067</v>
      </c>
      <c r="S52" s="28"/>
      <c r="U52" s="51" t="s">
        <v>2068</v>
      </c>
      <c r="V52" s="44" t="s">
        <v>1189</v>
      </c>
      <c r="Z52" s="28"/>
      <c r="AA52" s="2"/>
      <c r="AC52" s="28" t="s">
        <v>510</v>
      </c>
      <c r="AD52" s="28" t="s">
        <v>2653</v>
      </c>
      <c r="AF52" s="28" t="s">
        <v>2654</v>
      </c>
      <c r="AG52" s="61" t="s">
        <v>341</v>
      </c>
      <c r="AJ52" s="55" t="s">
        <v>364</v>
      </c>
      <c r="AL52" s="59"/>
      <c r="AX52" s="2" t="s">
        <v>813</v>
      </c>
      <c r="BJ52" s="28" t="s">
        <v>871</v>
      </c>
      <c r="BP52" s="28"/>
      <c r="BS52" s="28"/>
      <c r="BU52"/>
      <c r="BV52"/>
      <c r="BW52"/>
      <c r="BX52"/>
      <c r="BY52"/>
      <c r="BZ52"/>
      <c r="CA52"/>
      <c r="CB52"/>
      <c r="CC52"/>
      <c r="CD52"/>
      <c r="CE52"/>
      <c r="CF52" s="28" t="s">
        <v>1843</v>
      </c>
      <c r="CG52" s="43"/>
      <c r="CH52"/>
      <c r="CI52"/>
    </row>
    <row r="53" spans="1:87">
      <c r="A53"/>
      <c r="E53" s="2" t="s">
        <v>2069</v>
      </c>
      <c r="G53" s="28" t="s">
        <v>1195</v>
      </c>
      <c r="H53" s="28" t="s">
        <v>1727</v>
      </c>
      <c r="I53" s="51" t="s">
        <v>2070</v>
      </c>
      <c r="M53" s="51" t="s">
        <v>2061</v>
      </c>
      <c r="N53" s="51" t="s">
        <v>2061</v>
      </c>
      <c r="O53" s="51" t="s">
        <v>2061</v>
      </c>
      <c r="P53" s="51" t="s">
        <v>2061</v>
      </c>
      <c r="R53" s="2" t="s">
        <v>2072</v>
      </c>
      <c r="S53" s="28"/>
      <c r="U53" t="s">
        <v>1130</v>
      </c>
      <c r="V53" s="28" t="s">
        <v>1195</v>
      </c>
      <c r="AA53" s="2"/>
      <c r="AC53" s="28" t="s">
        <v>511</v>
      </c>
      <c r="AD53" s="28" t="s">
        <v>577</v>
      </c>
      <c r="AF53" s="28" t="s">
        <v>2655</v>
      </c>
      <c r="AG53" s="59" t="s">
        <v>1728</v>
      </c>
      <c r="AJ53" s="59" t="s">
        <v>1729</v>
      </c>
      <c r="AX53" s="28" t="s">
        <v>1106</v>
      </c>
      <c r="BJ53" s="28" t="s">
        <v>873</v>
      </c>
      <c r="BS53" s="28"/>
      <c r="BU53"/>
      <c r="BV53"/>
      <c r="BW53"/>
      <c r="BX53"/>
      <c r="BY53"/>
      <c r="BZ53"/>
      <c r="CA53"/>
      <c r="CB53"/>
      <c r="CC53"/>
      <c r="CD53"/>
      <c r="CE53"/>
      <c r="CF53" s="28" t="s">
        <v>1855</v>
      </c>
      <c r="CG53" s="43"/>
      <c r="CH53"/>
      <c r="CI53"/>
    </row>
    <row r="54" spans="1:87">
      <c r="A54"/>
      <c r="E54" s="39" t="s">
        <v>2073</v>
      </c>
      <c r="G54" s="44" t="s">
        <v>1203</v>
      </c>
      <c r="H54" s="28" t="s">
        <v>1731</v>
      </c>
      <c r="I54" s="81" t="s">
        <v>1732</v>
      </c>
      <c r="M54" s="51" t="s">
        <v>2066</v>
      </c>
      <c r="N54" s="51" t="s">
        <v>2066</v>
      </c>
      <c r="O54" s="51" t="s">
        <v>2066</v>
      </c>
      <c r="P54" s="51" t="s">
        <v>2066</v>
      </c>
      <c r="R54" s="2" t="s">
        <v>2075</v>
      </c>
      <c r="S54" s="28"/>
      <c r="U54" t="s">
        <v>1137</v>
      </c>
      <c r="V54" s="44" t="s">
        <v>1203</v>
      </c>
      <c r="AA54" s="2"/>
      <c r="AC54" s="28" t="s">
        <v>512</v>
      </c>
      <c r="AD54" s="28" t="s">
        <v>2656</v>
      </c>
      <c r="AF54" s="28" t="s">
        <v>2657</v>
      </c>
      <c r="AG54" s="59" t="s">
        <v>1733</v>
      </c>
      <c r="AJ54" s="55" t="s">
        <v>366</v>
      </c>
      <c r="AX54" s="28" t="s">
        <v>1700</v>
      </c>
      <c r="BJ54" s="28" t="s">
        <v>875</v>
      </c>
      <c r="BS54" s="28"/>
      <c r="BU54"/>
      <c r="BV54"/>
      <c r="BW54"/>
      <c r="BX54"/>
      <c r="BY54"/>
      <c r="BZ54"/>
      <c r="CA54"/>
      <c r="CB54"/>
      <c r="CC54"/>
      <c r="CD54"/>
      <c r="CE54"/>
      <c r="CF54" s="28" t="s">
        <v>2530</v>
      </c>
      <c r="CG54" s="28"/>
      <c r="CH54"/>
      <c r="CI54"/>
    </row>
    <row r="55" spans="1:87">
      <c r="A55"/>
      <c r="E55" s="2" t="s">
        <v>1145</v>
      </c>
      <c r="G55" s="28" t="s">
        <v>2076</v>
      </c>
      <c r="H55" s="28" t="s">
        <v>1735</v>
      </c>
      <c r="I55" s="81" t="s">
        <v>1736</v>
      </c>
      <c r="M55" s="51" t="s">
        <v>2071</v>
      </c>
      <c r="N55" s="51" t="s">
        <v>2071</v>
      </c>
      <c r="O55" s="51" t="s">
        <v>2071</v>
      </c>
      <c r="P55" s="51" t="s">
        <v>2071</v>
      </c>
      <c r="R55" s="2" t="s">
        <v>2078</v>
      </c>
      <c r="S55" s="28"/>
      <c r="U55" t="s">
        <v>1143</v>
      </c>
      <c r="V55" s="28" t="s">
        <v>2076</v>
      </c>
      <c r="AA55" s="2"/>
      <c r="AC55" s="28" t="s">
        <v>513</v>
      </c>
      <c r="AD55" s="28"/>
      <c r="AF55" s="28" t="s">
        <v>2658</v>
      </c>
      <c r="AG55" s="59" t="s">
        <v>1737</v>
      </c>
      <c r="AJ55" s="55" t="s">
        <v>368</v>
      </c>
      <c r="AX55" s="2" t="s">
        <v>816</v>
      </c>
      <c r="BJ55" s="28" t="s">
        <v>877</v>
      </c>
      <c r="BS55" s="28"/>
      <c r="BU55"/>
      <c r="BV55"/>
      <c r="BW55"/>
      <c r="BX55"/>
      <c r="BY55"/>
      <c r="BZ55"/>
      <c r="CA55"/>
      <c r="CB55"/>
      <c r="CC55"/>
      <c r="CD55"/>
      <c r="CE55"/>
      <c r="CF55" s="43" t="s">
        <v>388</v>
      </c>
      <c r="CG55" s="43"/>
      <c r="CH55"/>
      <c r="CI55"/>
    </row>
    <row r="56" spans="1:87">
      <c r="A56"/>
      <c r="E56" s="2" t="s">
        <v>2080</v>
      </c>
      <c r="G56" s="28" t="s">
        <v>2081</v>
      </c>
      <c r="H56" s="28" t="s">
        <v>1738</v>
      </c>
      <c r="I56" s="81" t="s">
        <v>2082</v>
      </c>
      <c r="M56" s="51" t="s">
        <v>2074</v>
      </c>
      <c r="N56" s="51" t="s">
        <v>2074</v>
      </c>
      <c r="O56" s="51" t="s">
        <v>2074</v>
      </c>
      <c r="P56" s="51" t="s">
        <v>2074</v>
      </c>
      <c r="R56" s="2" t="s">
        <v>2084</v>
      </c>
      <c r="S56" s="28"/>
      <c r="U56" t="s">
        <v>373</v>
      </c>
      <c r="V56" s="28" t="s">
        <v>2081</v>
      </c>
      <c r="AA56" s="2"/>
      <c r="AC56" s="28" t="s">
        <v>514</v>
      </c>
      <c r="AD56" s="28"/>
      <c r="AF56" s="28" t="s">
        <v>2659</v>
      </c>
      <c r="AG56" s="59" t="s">
        <v>1739</v>
      </c>
      <c r="AJ56" s="55" t="s">
        <v>369</v>
      </c>
      <c r="AX56" s="2" t="s">
        <v>1709</v>
      </c>
      <c r="BJ56" s="28" t="s">
        <v>878</v>
      </c>
      <c r="BS56" s="28"/>
      <c r="BU56"/>
      <c r="BV56"/>
      <c r="BW56"/>
      <c r="BX56"/>
      <c r="BY56"/>
      <c r="BZ56"/>
      <c r="CA56"/>
      <c r="CB56"/>
      <c r="CC56"/>
      <c r="CD56"/>
      <c r="CE56"/>
      <c r="CF56" s="28" t="s">
        <v>1875</v>
      </c>
      <c r="CG56" s="28"/>
      <c r="CH56"/>
      <c r="CI56"/>
    </row>
    <row r="57" spans="1:87">
      <c r="A57"/>
      <c r="E57" s="39" t="s">
        <v>2085</v>
      </c>
      <c r="G57" s="28" t="s">
        <v>1207</v>
      </c>
      <c r="H57" s="28" t="s">
        <v>1740</v>
      </c>
      <c r="I57" s="81" t="s">
        <v>2086</v>
      </c>
      <c r="M57" s="51" t="s">
        <v>2077</v>
      </c>
      <c r="N57" s="51" t="s">
        <v>2077</v>
      </c>
      <c r="O57" s="51" t="s">
        <v>2077</v>
      </c>
      <c r="P57" s="51" t="s">
        <v>2077</v>
      </c>
      <c r="R57" s="2" t="s">
        <v>2088</v>
      </c>
      <c r="S57" s="28"/>
      <c r="U57" t="s">
        <v>632</v>
      </c>
      <c r="V57" s="28" t="s">
        <v>1207</v>
      </c>
      <c r="AA57" s="2"/>
      <c r="AC57" s="28" t="s">
        <v>515</v>
      </c>
      <c r="AD57" s="28"/>
      <c r="AF57" s="2" t="s">
        <v>2660</v>
      </c>
      <c r="AG57" s="62" t="s">
        <v>343</v>
      </c>
      <c r="AJ57" s="55" t="s">
        <v>370</v>
      </c>
      <c r="AX57" s="28" t="s">
        <v>819</v>
      </c>
      <c r="BJ57" s="28" t="s">
        <v>879</v>
      </c>
      <c r="BS57" s="28"/>
      <c r="BU57"/>
      <c r="BV57"/>
      <c r="BW57"/>
      <c r="BX57"/>
      <c r="BY57"/>
      <c r="BZ57"/>
      <c r="CA57"/>
      <c r="CB57"/>
      <c r="CC57"/>
      <c r="CD57"/>
      <c r="CE57"/>
      <c r="CF57" s="28" t="s">
        <v>1884</v>
      </c>
      <c r="CG57" s="28"/>
      <c r="CH57"/>
      <c r="CI57"/>
    </row>
    <row r="58" spans="1:87">
      <c r="A58"/>
      <c r="E58" s="2" t="s">
        <v>1151</v>
      </c>
      <c r="G58" s="2" t="s">
        <v>1220</v>
      </c>
      <c r="H58" s="28" t="s">
        <v>1742</v>
      </c>
      <c r="I58" s="51" t="s">
        <v>2089</v>
      </c>
      <c r="M58" s="51" t="s">
        <v>2083</v>
      </c>
      <c r="N58" s="51" t="s">
        <v>2083</v>
      </c>
      <c r="O58" s="51" t="s">
        <v>2083</v>
      </c>
      <c r="P58" s="51" t="s">
        <v>2083</v>
      </c>
      <c r="R58" s="2" t="s">
        <v>2090</v>
      </c>
      <c r="S58" s="28"/>
      <c r="U58" s="51" t="s">
        <v>374</v>
      </c>
      <c r="V58" s="2" t="s">
        <v>1220</v>
      </c>
      <c r="AA58" s="2"/>
      <c r="AC58" s="28" t="s">
        <v>516</v>
      </c>
      <c r="AD58" s="28"/>
      <c r="AG58" s="62" t="s">
        <v>1743</v>
      </c>
      <c r="AJ58" s="55" t="s">
        <v>371</v>
      </c>
      <c r="AX58" s="28" t="s">
        <v>821</v>
      </c>
      <c r="BJ58" s="28" t="s">
        <v>880</v>
      </c>
      <c r="BS58" s="28"/>
      <c r="BU58"/>
      <c r="BV58"/>
      <c r="BW58"/>
      <c r="BX58"/>
      <c r="BY58"/>
      <c r="BZ58"/>
      <c r="CA58"/>
      <c r="CB58"/>
      <c r="CC58"/>
      <c r="CD58"/>
      <c r="CE58"/>
      <c r="CF58" s="43" t="s">
        <v>275</v>
      </c>
      <c r="CG58" s="28"/>
      <c r="CH58"/>
      <c r="CI58"/>
    </row>
    <row r="59" spans="1:87">
      <c r="A59"/>
      <c r="E59" s="39" t="s">
        <v>2091</v>
      </c>
      <c r="G59" s="28" t="s">
        <v>1213</v>
      </c>
      <c r="H59" s="28" t="s">
        <v>1744</v>
      </c>
      <c r="I59" s="51" t="s">
        <v>2092</v>
      </c>
      <c r="M59" s="51" t="s">
        <v>2087</v>
      </c>
      <c r="N59" s="51" t="s">
        <v>2087</v>
      </c>
      <c r="O59" s="51" t="s">
        <v>2087</v>
      </c>
      <c r="P59" s="51" t="s">
        <v>2087</v>
      </c>
      <c r="R59" s="2" t="s">
        <v>2093</v>
      </c>
      <c r="S59" s="28"/>
      <c r="U59" s="51" t="s">
        <v>1165</v>
      </c>
      <c r="V59" s="28" t="s">
        <v>1213</v>
      </c>
      <c r="AA59" s="2"/>
      <c r="AC59" s="28" t="s">
        <v>517</v>
      </c>
      <c r="AD59" s="28"/>
      <c r="AG59" s="62" t="s">
        <v>1745</v>
      </c>
      <c r="AJ59" s="55" t="s">
        <v>372</v>
      </c>
      <c r="AX59" s="28" t="s">
        <v>620</v>
      </c>
      <c r="BJ59" s="28" t="s">
        <v>881</v>
      </c>
      <c r="BS59" s="28"/>
      <c r="BU59"/>
      <c r="BV59"/>
      <c r="BW59"/>
      <c r="BX59"/>
      <c r="BY59"/>
      <c r="BZ59"/>
      <c r="CA59"/>
      <c r="CB59"/>
      <c r="CC59"/>
      <c r="CD59"/>
      <c r="CE59"/>
      <c r="CF59" s="43" t="s">
        <v>2536</v>
      </c>
      <c r="CG59" s="28"/>
      <c r="CH59"/>
      <c r="CI59"/>
    </row>
    <row r="60" spans="1:87">
      <c r="A60"/>
      <c r="E60" s="39" t="s">
        <v>1156</v>
      </c>
      <c r="G60" s="28" t="s">
        <v>2094</v>
      </c>
      <c r="H60" s="28" t="s">
        <v>1747</v>
      </c>
      <c r="I60" s="51" t="s">
        <v>1241</v>
      </c>
      <c r="M60" t="s">
        <v>1060</v>
      </c>
      <c r="N60" t="s">
        <v>1060</v>
      </c>
      <c r="O60" t="s">
        <v>1060</v>
      </c>
      <c r="P60" t="s">
        <v>1060</v>
      </c>
      <c r="R60" s="2" t="s">
        <v>2095</v>
      </c>
      <c r="U60" s="82" t="s">
        <v>1748</v>
      </c>
      <c r="V60" s="28" t="s">
        <v>2094</v>
      </c>
      <c r="AA60" s="2"/>
      <c r="AC60" s="28" t="s">
        <v>518</v>
      </c>
      <c r="AD60" s="28"/>
      <c r="AG60" s="62" t="s">
        <v>2096</v>
      </c>
      <c r="AJ60" s="59" t="s">
        <v>1749</v>
      </c>
      <c r="AX60" s="28" t="s">
        <v>824</v>
      </c>
      <c r="BJ60" s="28" t="s">
        <v>882</v>
      </c>
      <c r="BS60" s="28"/>
      <c r="BU60"/>
      <c r="BV60"/>
      <c r="BW60"/>
      <c r="BX60"/>
      <c r="BY60"/>
      <c r="BZ60"/>
      <c r="CA60"/>
      <c r="CB60"/>
      <c r="CC60"/>
      <c r="CD60"/>
      <c r="CE60"/>
      <c r="CF60" s="43" t="s">
        <v>623</v>
      </c>
      <c r="CG60" s="28"/>
      <c r="CH60"/>
      <c r="CI60"/>
    </row>
    <row r="61" spans="1:87">
      <c r="A61"/>
      <c r="E61" s="83" t="s">
        <v>1750</v>
      </c>
      <c r="G61" s="28" t="s">
        <v>2097</v>
      </c>
      <c r="H61" s="28" t="s">
        <v>1751</v>
      </c>
      <c r="I61" s="51" t="s">
        <v>1395</v>
      </c>
      <c r="M61" t="s">
        <v>1069</v>
      </c>
      <c r="N61" t="s">
        <v>1069</v>
      </c>
      <c r="O61" t="s">
        <v>1069</v>
      </c>
      <c r="P61" t="s">
        <v>1069</v>
      </c>
      <c r="R61" s="2" t="s">
        <v>2098</v>
      </c>
      <c r="U61" t="s">
        <v>1171</v>
      </c>
      <c r="V61" s="28" t="s">
        <v>2097</v>
      </c>
      <c r="AA61" s="2"/>
      <c r="AC61" s="2" t="s">
        <v>519</v>
      </c>
      <c r="AG61" s="62" t="s">
        <v>1541</v>
      </c>
      <c r="AX61" s="28" t="s">
        <v>1724</v>
      </c>
      <c r="BJ61" s="28" t="s">
        <v>883</v>
      </c>
      <c r="BS61" s="28"/>
      <c r="BU61"/>
      <c r="BV61"/>
      <c r="BW61"/>
      <c r="BX61"/>
      <c r="BY61"/>
      <c r="BZ61"/>
      <c r="CA61"/>
      <c r="CB61"/>
      <c r="CC61"/>
      <c r="CD61"/>
      <c r="CE61"/>
      <c r="CF61" s="28" t="s">
        <v>1533</v>
      </c>
      <c r="CG61" s="28"/>
      <c r="CH61"/>
      <c r="CI61"/>
    </row>
    <row r="62" spans="1:87">
      <c r="A62"/>
      <c r="E62" s="83" t="s">
        <v>1752</v>
      </c>
      <c r="G62" s="28" t="s">
        <v>2099</v>
      </c>
      <c r="H62" s="39" t="s">
        <v>1108</v>
      </c>
      <c r="I62" s="51" t="s">
        <v>1231</v>
      </c>
      <c r="M62" s="51" t="s">
        <v>1077</v>
      </c>
      <c r="N62" s="51" t="s">
        <v>1077</v>
      </c>
      <c r="O62" s="51" t="s">
        <v>1077</v>
      </c>
      <c r="P62" s="51" t="s">
        <v>1077</v>
      </c>
      <c r="R62" s="2" t="s">
        <v>2100</v>
      </c>
      <c r="U62" t="s">
        <v>634</v>
      </c>
      <c r="V62" s="28" t="s">
        <v>2099</v>
      </c>
      <c r="AA62" s="2"/>
      <c r="AC62" s="28" t="s">
        <v>506</v>
      </c>
      <c r="AD62" s="28"/>
      <c r="AG62" s="62" t="s">
        <v>1547</v>
      </c>
      <c r="AX62" s="28" t="s">
        <v>1725</v>
      </c>
      <c r="BJ62" s="28" t="s">
        <v>884</v>
      </c>
      <c r="BS62" s="28"/>
      <c r="BU62"/>
      <c r="BV62"/>
      <c r="BW62"/>
      <c r="BX62"/>
      <c r="BY62"/>
      <c r="BZ62"/>
      <c r="CA62"/>
      <c r="CB62"/>
      <c r="CC62"/>
      <c r="CD62"/>
      <c r="CE62"/>
      <c r="CF62" s="43" t="s">
        <v>249</v>
      </c>
      <c r="CG62" s="28"/>
      <c r="CH62"/>
      <c r="CI62"/>
    </row>
    <row r="63" spans="1:87">
      <c r="A63"/>
      <c r="E63" s="39" t="s">
        <v>1161</v>
      </c>
      <c r="G63" s="28" t="s">
        <v>2101</v>
      </c>
      <c r="H63" s="28"/>
      <c r="I63" s="51" t="s">
        <v>2102</v>
      </c>
      <c r="M63" s="51" t="s">
        <v>1083</v>
      </c>
      <c r="N63" s="51" t="s">
        <v>1083</v>
      </c>
      <c r="O63" s="51" t="s">
        <v>1083</v>
      </c>
      <c r="P63" s="51" t="s">
        <v>1083</v>
      </c>
      <c r="R63" s="2" t="s">
        <v>2104</v>
      </c>
      <c r="U63" s="51" t="s">
        <v>2105</v>
      </c>
      <c r="V63" s="28" t="s">
        <v>2101</v>
      </c>
      <c r="AA63" s="2"/>
      <c r="AC63" s="28" t="s">
        <v>507</v>
      </c>
      <c r="AD63" s="28"/>
      <c r="AG63" s="62" t="s">
        <v>347</v>
      </c>
      <c r="AX63" s="28" t="s">
        <v>2516</v>
      </c>
      <c r="BJ63" s="28" t="s">
        <v>885</v>
      </c>
      <c r="BS63" s="28"/>
      <c r="BU63"/>
      <c r="BV63"/>
      <c r="BW63"/>
      <c r="BX63"/>
      <c r="BY63"/>
      <c r="BZ63"/>
      <c r="CA63"/>
      <c r="CB63"/>
      <c r="CC63"/>
      <c r="CD63"/>
      <c r="CE63"/>
      <c r="CF63" s="28" t="s">
        <v>761</v>
      </c>
      <c r="CG63" s="28"/>
      <c r="CH63"/>
      <c r="CI63"/>
    </row>
    <row r="64" spans="1:87">
      <c r="A64"/>
      <c r="E64" s="39" t="s">
        <v>1167</v>
      </c>
      <c r="G64" s="28" t="s">
        <v>2106</v>
      </c>
      <c r="H64" s="28"/>
      <c r="I64" s="51" t="s">
        <v>2107</v>
      </c>
      <c r="M64" s="51" t="s">
        <v>1092</v>
      </c>
      <c r="N64" s="51" t="s">
        <v>1092</v>
      </c>
      <c r="O64" s="51" t="s">
        <v>1092</v>
      </c>
      <c r="P64" s="51" t="s">
        <v>1092</v>
      </c>
      <c r="R64" s="41" t="s">
        <v>2542</v>
      </c>
      <c r="U64" s="51" t="s">
        <v>2110</v>
      </c>
      <c r="V64" s="28" t="s">
        <v>2106</v>
      </c>
      <c r="AA64" s="2"/>
      <c r="AG64" s="62" t="s">
        <v>353</v>
      </c>
      <c r="AX64" s="28" t="s">
        <v>826</v>
      </c>
      <c r="BJ64" s="28" t="s">
        <v>886</v>
      </c>
      <c r="BS64" s="28"/>
      <c r="BU64"/>
      <c r="BV64"/>
      <c r="BW64"/>
      <c r="BX64"/>
      <c r="BY64"/>
      <c r="BZ64"/>
      <c r="CA64"/>
      <c r="CB64"/>
      <c r="CC64"/>
      <c r="CD64"/>
      <c r="CE64"/>
      <c r="CF64" s="28" t="s">
        <v>765</v>
      </c>
      <c r="CG64" s="28"/>
      <c r="CH64"/>
      <c r="CI64"/>
    </row>
    <row r="65" spans="1:87">
      <c r="A65"/>
      <c r="E65" s="2" t="s">
        <v>1173</v>
      </c>
      <c r="G65" s="28" t="s">
        <v>2111</v>
      </c>
      <c r="H65" s="28"/>
      <c r="I65" s="51" t="s">
        <v>1236</v>
      </c>
      <c r="M65" s="51" t="s">
        <v>2103</v>
      </c>
      <c r="N65" s="51" t="s">
        <v>2103</v>
      </c>
      <c r="O65" s="51" t="s">
        <v>2103</v>
      </c>
      <c r="P65" s="51" t="s">
        <v>2103</v>
      </c>
      <c r="R65" s="41" t="s">
        <v>2109</v>
      </c>
      <c r="U65" s="51" t="s">
        <v>2114</v>
      </c>
      <c r="V65" s="28" t="s">
        <v>2111</v>
      </c>
      <c r="AA65" s="2"/>
      <c r="AG65" s="62" t="s">
        <v>356</v>
      </c>
      <c r="AX65" s="28" t="s">
        <v>1730</v>
      </c>
      <c r="BJ65" s="2" t="s">
        <v>887</v>
      </c>
      <c r="BS65" s="28"/>
      <c r="BU65"/>
      <c r="BV65"/>
      <c r="BW65"/>
      <c r="BX65"/>
      <c r="BY65"/>
      <c r="BZ65"/>
      <c r="CA65"/>
      <c r="CB65"/>
      <c r="CC65"/>
      <c r="CD65"/>
      <c r="CE65"/>
      <c r="CF65" s="28" t="s">
        <v>1379</v>
      </c>
      <c r="CG65" s="28"/>
      <c r="CH65"/>
      <c r="CI65"/>
    </row>
    <row r="66" spans="1:87">
      <c r="A66"/>
      <c r="E66" s="2" t="s">
        <v>1178</v>
      </c>
      <c r="G66" s="28" t="s">
        <v>1225</v>
      </c>
      <c r="H66" s="28"/>
      <c r="I66" s="51" t="s">
        <v>2115</v>
      </c>
      <c r="M66" s="51" t="s">
        <v>2108</v>
      </c>
      <c r="N66" s="51" t="s">
        <v>2108</v>
      </c>
      <c r="O66" s="51" t="s">
        <v>2108</v>
      </c>
      <c r="P66" s="51" t="s">
        <v>2108</v>
      </c>
      <c r="R66" s="41" t="s">
        <v>2113</v>
      </c>
      <c r="U66" s="51" t="s">
        <v>2117</v>
      </c>
      <c r="V66" s="28" t="s">
        <v>1225</v>
      </c>
      <c r="AA66" s="2"/>
      <c r="AG66" s="59" t="s">
        <v>1661</v>
      </c>
      <c r="AX66" s="28" t="s">
        <v>1734</v>
      </c>
      <c r="BJ66" s="2" t="s">
        <v>888</v>
      </c>
      <c r="BS66" s="28"/>
      <c r="BU66"/>
      <c r="BV66"/>
      <c r="BW66"/>
      <c r="BX66"/>
      <c r="BY66"/>
      <c r="BZ66"/>
      <c r="CA66"/>
      <c r="CB66"/>
      <c r="CC66"/>
      <c r="CD66"/>
      <c r="CE66"/>
      <c r="CF66" s="28" t="s">
        <v>1865</v>
      </c>
      <c r="CG66" s="28"/>
      <c r="CH66"/>
      <c r="CI66"/>
    </row>
    <row r="67" spans="1:87">
      <c r="A67"/>
      <c r="E67" s="2" t="s">
        <v>1185</v>
      </c>
      <c r="G67" s="28" t="s">
        <v>1229</v>
      </c>
      <c r="H67" s="28"/>
      <c r="I67" s="51" t="s">
        <v>2118</v>
      </c>
      <c r="M67" s="51" t="s">
        <v>2112</v>
      </c>
      <c r="N67" s="51" t="s">
        <v>2112</v>
      </c>
      <c r="O67" s="51" t="s">
        <v>2112</v>
      </c>
      <c r="P67" s="51" t="s">
        <v>2112</v>
      </c>
      <c r="R67" s="41" t="s">
        <v>2116</v>
      </c>
      <c r="U67" t="s">
        <v>1182</v>
      </c>
      <c r="V67" s="28" t="s">
        <v>1229</v>
      </c>
      <c r="AA67" s="2"/>
      <c r="AG67" s="62" t="s">
        <v>360</v>
      </c>
      <c r="AX67" s="2" t="s">
        <v>2079</v>
      </c>
      <c r="BJ67" s="2" t="s">
        <v>889</v>
      </c>
      <c r="BS67" s="28"/>
      <c r="BU67"/>
      <c r="BV67"/>
      <c r="BW67"/>
      <c r="BX67"/>
      <c r="BY67"/>
      <c r="BZ67"/>
      <c r="CA67"/>
      <c r="CB67"/>
      <c r="CC67"/>
      <c r="CD67"/>
      <c r="CE67"/>
      <c r="CF67" s="28" t="s">
        <v>1873</v>
      </c>
      <c r="CG67" s="28"/>
      <c r="CH67"/>
      <c r="CI67"/>
    </row>
    <row r="68" spans="1:87">
      <c r="A68"/>
      <c r="E68" s="2" t="s">
        <v>1191</v>
      </c>
      <c r="G68" s="28" t="s">
        <v>1233</v>
      </c>
      <c r="H68" s="28"/>
      <c r="I68" s="51" t="s">
        <v>2120</v>
      </c>
      <c r="M68" s="51" t="s">
        <v>1101</v>
      </c>
      <c r="N68" s="51" t="s">
        <v>1101</v>
      </c>
      <c r="O68" s="51" t="s">
        <v>1101</v>
      </c>
      <c r="P68" s="51" t="s">
        <v>1101</v>
      </c>
      <c r="R68" s="41" t="s">
        <v>2119</v>
      </c>
      <c r="U68" t="s">
        <v>1188</v>
      </c>
      <c r="V68" s="28" t="s">
        <v>1233</v>
      </c>
      <c r="AA68" s="2"/>
      <c r="AG68" s="59" t="s">
        <v>2122</v>
      </c>
      <c r="AX68" s="2" t="s">
        <v>1381</v>
      </c>
      <c r="BJ68" s="2" t="s">
        <v>890</v>
      </c>
      <c r="BS68" s="28"/>
      <c r="BU68"/>
      <c r="BV68"/>
      <c r="BW68"/>
      <c r="BX68"/>
      <c r="BY68"/>
      <c r="BZ68"/>
      <c r="CA68"/>
      <c r="CB68"/>
      <c r="CC68"/>
      <c r="CD68"/>
      <c r="CE68"/>
      <c r="CF68" s="28" t="s">
        <v>306</v>
      </c>
      <c r="CG68" s="28"/>
      <c r="CH68"/>
      <c r="CI68"/>
    </row>
    <row r="69" spans="1:87">
      <c r="A69"/>
      <c r="E69" s="2" t="s">
        <v>1198</v>
      </c>
      <c r="G69" s="28" t="s">
        <v>1238</v>
      </c>
      <c r="H69" s="28"/>
      <c r="I69" s="51" t="s">
        <v>2543</v>
      </c>
      <c r="M69" s="51" t="s">
        <v>1110</v>
      </c>
      <c r="N69" s="51" t="s">
        <v>1110</v>
      </c>
      <c r="O69" s="51" t="s">
        <v>1110</v>
      </c>
      <c r="P69" s="51" t="s">
        <v>1110</v>
      </c>
      <c r="R69" s="41" t="s">
        <v>2121</v>
      </c>
      <c r="U69" t="s">
        <v>1000</v>
      </c>
      <c r="V69" s="28" t="s">
        <v>1238</v>
      </c>
      <c r="AA69" s="2"/>
      <c r="AG69" s="59" t="s">
        <v>1729</v>
      </c>
      <c r="AX69" s="28" t="s">
        <v>1741</v>
      </c>
      <c r="BJ69" s="2" t="s">
        <v>891</v>
      </c>
      <c r="BS69" s="28"/>
      <c r="BU69"/>
      <c r="BV69"/>
      <c r="BW69"/>
      <c r="BX69"/>
      <c r="BY69"/>
      <c r="BZ69"/>
      <c r="CA69"/>
      <c r="CB69"/>
      <c r="CC69"/>
      <c r="CD69"/>
      <c r="CE69"/>
      <c r="CF69" s="28" t="s">
        <v>1584</v>
      </c>
      <c r="CG69" s="28"/>
      <c r="CH69"/>
      <c r="CI69"/>
    </row>
    <row r="70" spans="1:87">
      <c r="A70"/>
      <c r="E70" s="2" t="s">
        <v>1204</v>
      </c>
      <c r="G70" s="28" t="s">
        <v>1244</v>
      </c>
      <c r="H70" s="28"/>
      <c r="I70" s="51" t="s">
        <v>2544</v>
      </c>
      <c r="M70" s="51" t="s">
        <v>1117</v>
      </c>
      <c r="N70" s="51" t="s">
        <v>1117</v>
      </c>
      <c r="O70" s="51" t="s">
        <v>1117</v>
      </c>
      <c r="P70" s="51" t="s">
        <v>1117</v>
      </c>
      <c r="R70" s="41" t="s">
        <v>2125</v>
      </c>
      <c r="U70" s="51" t="s">
        <v>2128</v>
      </c>
      <c r="V70" s="28" t="s">
        <v>1244</v>
      </c>
      <c r="AA70" s="2"/>
      <c r="AG70" s="62" t="s">
        <v>366</v>
      </c>
      <c r="AX70" s="28" t="s">
        <v>622</v>
      </c>
      <c r="BJ70" s="2" t="s">
        <v>892</v>
      </c>
      <c r="BS70" s="28"/>
      <c r="BU70"/>
      <c r="BV70"/>
      <c r="BW70"/>
      <c r="BX70"/>
      <c r="BY70"/>
      <c r="BZ70"/>
      <c r="CA70"/>
      <c r="CB70"/>
      <c r="CC70"/>
      <c r="CD70"/>
      <c r="CE70"/>
      <c r="CF70" s="28" t="s">
        <v>1946</v>
      </c>
      <c r="CG70" s="28"/>
      <c r="CH70"/>
      <c r="CI70"/>
    </row>
    <row r="71" spans="1:87">
      <c r="A71"/>
      <c r="E71" s="2" t="s">
        <v>1209</v>
      </c>
      <c r="G71" s="28" t="s">
        <v>1249</v>
      </c>
      <c r="H71" s="28"/>
      <c r="I71" s="51" t="s">
        <v>2123</v>
      </c>
      <c r="M71" s="51" t="s">
        <v>2124</v>
      </c>
      <c r="N71" s="51" t="s">
        <v>2124</v>
      </c>
      <c r="O71" s="51" t="s">
        <v>2124</v>
      </c>
      <c r="P71" s="51" t="s">
        <v>2124</v>
      </c>
      <c r="R71" s="49" t="s">
        <v>564</v>
      </c>
      <c r="U71" s="51" t="s">
        <v>2130</v>
      </c>
      <c r="V71" s="28" t="s">
        <v>1249</v>
      </c>
      <c r="AA71" s="2"/>
      <c r="AG71" s="59" t="s">
        <v>368</v>
      </c>
      <c r="AX71" s="28" t="s">
        <v>1746</v>
      </c>
      <c r="BJ71" s="2" t="s">
        <v>893</v>
      </c>
      <c r="BS71" s="28"/>
      <c r="BU71"/>
      <c r="BV71"/>
      <c r="BW71"/>
      <c r="BX71"/>
      <c r="BY71"/>
      <c r="BZ71"/>
      <c r="CA71"/>
      <c r="CB71"/>
      <c r="CC71"/>
      <c r="CD71"/>
      <c r="CE71"/>
      <c r="CF71" s="28" t="s">
        <v>1596</v>
      </c>
      <c r="CG71" s="28"/>
      <c r="CH71"/>
      <c r="CI71"/>
    </row>
    <row r="72" spans="1:87">
      <c r="A72"/>
      <c r="E72" s="2" t="s">
        <v>1215</v>
      </c>
      <c r="G72" s="28" t="s">
        <v>1254</v>
      </c>
      <c r="H72" s="28"/>
      <c r="I72" s="51" t="s">
        <v>2126</v>
      </c>
      <c r="M72" s="51" t="s">
        <v>2127</v>
      </c>
      <c r="N72" s="51" t="s">
        <v>2127</v>
      </c>
      <c r="O72" s="51" t="s">
        <v>2127</v>
      </c>
      <c r="P72" s="51" t="s">
        <v>2127</v>
      </c>
      <c r="R72" s="49" t="s">
        <v>567</v>
      </c>
      <c r="U72" s="51" t="s">
        <v>2133</v>
      </c>
      <c r="V72" s="28" t="s">
        <v>1254</v>
      </c>
      <c r="AA72" s="2"/>
      <c r="AG72" s="67" t="s">
        <v>1758</v>
      </c>
      <c r="AX72" s="28" t="s">
        <v>829</v>
      </c>
      <c r="BJ72" s="2" t="s">
        <v>894</v>
      </c>
      <c r="BS72" s="28"/>
      <c r="BU72"/>
      <c r="BV72"/>
      <c r="BW72"/>
      <c r="BX72"/>
      <c r="BY72"/>
      <c r="BZ72"/>
      <c r="CA72"/>
      <c r="CB72"/>
      <c r="CC72"/>
      <c r="CD72"/>
      <c r="CE72"/>
      <c r="CF72" s="28" t="s">
        <v>1955</v>
      </c>
      <c r="CG72" s="28"/>
      <c r="CH72"/>
      <c r="CI72"/>
    </row>
    <row r="73" spans="1:87">
      <c r="A73"/>
      <c r="E73" s="39" t="s">
        <v>1221</v>
      </c>
      <c r="G73" s="28" t="s">
        <v>1259</v>
      </c>
      <c r="I73" s="51" t="s">
        <v>1289</v>
      </c>
      <c r="M73" s="51" t="s">
        <v>2129</v>
      </c>
      <c r="N73" s="51" t="s">
        <v>2129</v>
      </c>
      <c r="O73" s="51" t="s">
        <v>2129</v>
      </c>
      <c r="P73" s="51" t="s">
        <v>2129</v>
      </c>
      <c r="R73" s="28" t="s">
        <v>1084</v>
      </c>
      <c r="U73" s="51" t="s">
        <v>2136</v>
      </c>
      <c r="V73" s="28" t="s">
        <v>1259</v>
      </c>
      <c r="AA73" s="2"/>
      <c r="AX73" s="28" t="s">
        <v>458</v>
      </c>
      <c r="BJ73" s="2" t="s">
        <v>895</v>
      </c>
      <c r="BS73" s="28"/>
      <c r="BU73"/>
      <c r="BV73"/>
      <c r="BW73"/>
      <c r="BX73"/>
      <c r="BY73"/>
      <c r="BZ73"/>
      <c r="CA73"/>
      <c r="CB73"/>
      <c r="CC73"/>
      <c r="CD73"/>
      <c r="CE73"/>
      <c r="CF73" s="28" t="s">
        <v>1961</v>
      </c>
      <c r="CG73" s="28"/>
      <c r="CH73"/>
      <c r="CI73"/>
    </row>
    <row r="74" spans="1:87">
      <c r="A74"/>
      <c r="E74" s="2" t="s">
        <v>1227</v>
      </c>
      <c r="G74" s="28" t="s">
        <v>1265</v>
      </c>
      <c r="I74" s="51" t="s">
        <v>2131</v>
      </c>
      <c r="M74" s="51" t="s">
        <v>2132</v>
      </c>
      <c r="N74" s="51" t="s">
        <v>2132</v>
      </c>
      <c r="O74" s="51" t="s">
        <v>2132</v>
      </c>
      <c r="P74" s="51" t="s">
        <v>2132</v>
      </c>
      <c r="R74" s="28" t="s">
        <v>1093</v>
      </c>
      <c r="U74" t="s">
        <v>1014</v>
      </c>
      <c r="V74" s="28" t="s">
        <v>1265</v>
      </c>
      <c r="AA74" s="2"/>
      <c r="AX74" s="28" t="s">
        <v>1753</v>
      </c>
      <c r="BJ74" s="2" t="s">
        <v>896</v>
      </c>
      <c r="BU74"/>
      <c r="BV74"/>
      <c r="BW74"/>
      <c r="BX74"/>
      <c r="BY74"/>
      <c r="BZ74"/>
      <c r="CA74"/>
      <c r="CB74"/>
      <c r="CC74"/>
      <c r="CD74"/>
      <c r="CE74"/>
      <c r="CF74" s="28" t="s">
        <v>1966</v>
      </c>
      <c r="CG74" s="28"/>
      <c r="CH74"/>
      <c r="CI74"/>
    </row>
    <row r="75" spans="1:87">
      <c r="A75"/>
      <c r="E75" s="39" t="s">
        <v>1227</v>
      </c>
      <c r="G75" s="28" t="s">
        <v>2139</v>
      </c>
      <c r="I75" s="51" t="s">
        <v>2134</v>
      </c>
      <c r="M75" s="51" t="s">
        <v>2135</v>
      </c>
      <c r="N75" s="51" t="s">
        <v>2135</v>
      </c>
      <c r="O75" s="51" t="s">
        <v>2135</v>
      </c>
      <c r="P75" s="51" t="s">
        <v>2135</v>
      </c>
      <c r="R75" s="28" t="s">
        <v>1102</v>
      </c>
      <c r="U75" s="39" t="s">
        <v>1028</v>
      </c>
      <c r="V75" s="28" t="s">
        <v>2139</v>
      </c>
      <c r="AA75" s="2"/>
      <c r="AX75" s="28" t="s">
        <v>2517</v>
      </c>
      <c r="BJ75" s="2" t="s">
        <v>897</v>
      </c>
      <c r="BU75"/>
      <c r="BV75"/>
      <c r="BW75"/>
      <c r="BX75"/>
      <c r="BY75"/>
      <c r="BZ75"/>
      <c r="CA75"/>
      <c r="CB75"/>
      <c r="CC75"/>
      <c r="CD75"/>
      <c r="CE75"/>
      <c r="CF75" s="28" t="s">
        <v>1883</v>
      </c>
      <c r="CG75" s="28"/>
      <c r="CH75"/>
      <c r="CI75"/>
    </row>
    <row r="76" spans="1:87">
      <c r="A76"/>
      <c r="E76" s="39" t="s">
        <v>1235</v>
      </c>
      <c r="G76" s="28" t="s">
        <v>2142</v>
      </c>
      <c r="I76" s="51" t="s">
        <v>2137</v>
      </c>
      <c r="M76" s="51" t="s">
        <v>2138</v>
      </c>
      <c r="N76" s="51" t="s">
        <v>2138</v>
      </c>
      <c r="O76" s="51" t="s">
        <v>2138</v>
      </c>
      <c r="P76" s="51" t="s">
        <v>2138</v>
      </c>
      <c r="R76" s="28" t="s">
        <v>1111</v>
      </c>
      <c r="U76" s="39" t="s">
        <v>1219</v>
      </c>
      <c r="V76" s="28" t="s">
        <v>2142</v>
      </c>
      <c r="AA76" s="2"/>
      <c r="AX76" s="2" t="s">
        <v>832</v>
      </c>
      <c r="BJ76" s="2" t="s">
        <v>898</v>
      </c>
      <c r="BU76"/>
      <c r="BV76"/>
      <c r="BW76"/>
      <c r="BX76"/>
      <c r="BY76"/>
      <c r="BZ76"/>
      <c r="CA76"/>
      <c r="CB76"/>
      <c r="CC76"/>
      <c r="CD76"/>
      <c r="CE76"/>
      <c r="CF76" s="28" t="s">
        <v>1972</v>
      </c>
      <c r="CG76" s="28"/>
      <c r="CH76"/>
      <c r="CI76"/>
    </row>
    <row r="77" spans="1:87">
      <c r="A77"/>
      <c r="E77" s="39" t="s">
        <v>1240</v>
      </c>
      <c r="G77" s="28" t="s">
        <v>2145</v>
      </c>
      <c r="I77" s="51" t="s">
        <v>2140</v>
      </c>
      <c r="M77" s="51" t="s">
        <v>2141</v>
      </c>
      <c r="N77" s="51" t="s">
        <v>2141</v>
      </c>
      <c r="O77" s="51" t="s">
        <v>2141</v>
      </c>
      <c r="P77" s="51" t="s">
        <v>2141</v>
      </c>
      <c r="R77" s="2" t="s">
        <v>1282</v>
      </c>
      <c r="U77" s="39" t="s">
        <v>2148</v>
      </c>
      <c r="V77" s="28" t="s">
        <v>2145</v>
      </c>
      <c r="AA77" s="2"/>
      <c r="AX77" s="28" t="s">
        <v>625</v>
      </c>
      <c r="BJ77" s="2" t="s">
        <v>899</v>
      </c>
      <c r="BU77"/>
      <c r="BV77"/>
      <c r="BW77"/>
      <c r="BX77"/>
      <c r="BY77"/>
      <c r="BZ77"/>
      <c r="CA77"/>
      <c r="CB77"/>
      <c r="CC77"/>
      <c r="CD77"/>
      <c r="CE77"/>
      <c r="CF77" s="28" t="s">
        <v>1976</v>
      </c>
      <c r="CG77" s="28"/>
      <c r="CH77"/>
      <c r="CI77"/>
    </row>
    <row r="78" spans="1:87">
      <c r="A78"/>
      <c r="E78" s="39" t="s">
        <v>2149</v>
      </c>
      <c r="G78" s="28" t="s">
        <v>2150</v>
      </c>
      <c r="I78" s="51" t="s">
        <v>2143</v>
      </c>
      <c r="M78" s="51" t="s">
        <v>2144</v>
      </c>
      <c r="N78" s="51" t="s">
        <v>2144</v>
      </c>
      <c r="O78" s="51" t="s">
        <v>2144</v>
      </c>
      <c r="P78" s="51" t="s">
        <v>2144</v>
      </c>
      <c r="R78" s="41" t="s">
        <v>401</v>
      </c>
      <c r="U78" s="39" t="s">
        <v>2154</v>
      </c>
      <c r="V78" s="28" t="s">
        <v>2150</v>
      </c>
      <c r="AA78" s="2"/>
      <c r="AX78" s="28" t="s">
        <v>1754</v>
      </c>
      <c r="BJ78" s="2" t="s">
        <v>900</v>
      </c>
      <c r="BU78"/>
      <c r="BV78"/>
      <c r="BW78"/>
      <c r="BX78"/>
      <c r="BY78"/>
      <c r="BZ78"/>
      <c r="CA78"/>
      <c r="CB78"/>
      <c r="CC78"/>
      <c r="CD78"/>
      <c r="CE78"/>
      <c r="CF78" s="28" t="s">
        <v>299</v>
      </c>
      <c r="CG78" s="28"/>
      <c r="CH78"/>
      <c r="CI78"/>
    </row>
    <row r="79" spans="1:87">
      <c r="A79"/>
      <c r="E79" s="2" t="s">
        <v>1245</v>
      </c>
      <c r="G79" s="28" t="s">
        <v>2155</v>
      </c>
      <c r="I79" s="51" t="s">
        <v>2146</v>
      </c>
      <c r="M79" s="51" t="s">
        <v>2147</v>
      </c>
      <c r="N79" s="51" t="s">
        <v>2147</v>
      </c>
      <c r="O79" s="51" t="s">
        <v>2147</v>
      </c>
      <c r="P79" s="51" t="s">
        <v>2147</v>
      </c>
      <c r="R79" s="41" t="s">
        <v>2153</v>
      </c>
      <c r="U79" s="39" t="s">
        <v>2158</v>
      </c>
      <c r="V79" s="28" t="s">
        <v>2155</v>
      </c>
      <c r="AA79" s="2"/>
      <c r="AX79" s="28" t="s">
        <v>2518</v>
      </c>
      <c r="BJ79" s="2" t="s">
        <v>901</v>
      </c>
      <c r="BU79"/>
      <c r="BV79"/>
      <c r="BW79"/>
      <c r="BX79"/>
      <c r="BY79"/>
      <c r="BZ79"/>
      <c r="CA79"/>
      <c r="CB79"/>
      <c r="CC79"/>
      <c r="CD79"/>
      <c r="CE79"/>
      <c r="CF79" s="28" t="s">
        <v>1649</v>
      </c>
      <c r="CG79" s="28"/>
      <c r="CH79"/>
      <c r="CI79"/>
    </row>
    <row r="80" spans="1:87">
      <c r="A80"/>
      <c r="E80" s="84" t="s">
        <v>1763</v>
      </c>
      <c r="G80" s="28" t="s">
        <v>2159</v>
      </c>
      <c r="I80" s="51" t="s">
        <v>2151</v>
      </c>
      <c r="M80" s="51" t="s">
        <v>2152</v>
      </c>
      <c r="N80" s="51" t="s">
        <v>2152</v>
      </c>
      <c r="O80" s="51" t="s">
        <v>2152</v>
      </c>
      <c r="P80" s="51" t="s">
        <v>2152</v>
      </c>
      <c r="R80" s="2" t="s">
        <v>2157</v>
      </c>
      <c r="U80" s="39" t="s">
        <v>2162</v>
      </c>
      <c r="V80" s="28" t="s">
        <v>2159</v>
      </c>
      <c r="AA80" s="2"/>
      <c r="AX80" s="28" t="s">
        <v>836</v>
      </c>
      <c r="BJ80" s="2" t="s">
        <v>902</v>
      </c>
      <c r="BU80"/>
      <c r="BV80"/>
      <c r="BW80"/>
      <c r="BX80"/>
      <c r="BY80"/>
      <c r="BZ80"/>
      <c r="CA80"/>
      <c r="CB80"/>
      <c r="CC80"/>
      <c r="CD80"/>
      <c r="CE80"/>
      <c r="CF80" s="28" t="s">
        <v>1986</v>
      </c>
      <c r="CG80" s="28"/>
      <c r="CH80"/>
      <c r="CI80"/>
    </row>
    <row r="81" spans="1:87">
      <c r="A81"/>
      <c r="E81" s="2" t="s">
        <v>1250</v>
      </c>
      <c r="G81" s="28" t="s">
        <v>2163</v>
      </c>
      <c r="I81" s="51" t="s">
        <v>2156</v>
      </c>
      <c r="M81" t="s">
        <v>1122</v>
      </c>
      <c r="N81" t="s">
        <v>1122</v>
      </c>
      <c r="O81" t="s">
        <v>1122</v>
      </c>
      <c r="P81" t="s">
        <v>1122</v>
      </c>
      <c r="R81" s="2" t="s">
        <v>2161</v>
      </c>
      <c r="U81" s="39" t="s">
        <v>1040</v>
      </c>
      <c r="V81" s="28" t="s">
        <v>2163</v>
      </c>
      <c r="AA81" s="2"/>
      <c r="AX81" s="28" t="s">
        <v>838</v>
      </c>
      <c r="BJ81" s="2" t="s">
        <v>903</v>
      </c>
      <c r="BU81"/>
      <c r="BV81"/>
      <c r="BW81"/>
      <c r="BX81"/>
      <c r="BY81"/>
      <c r="BZ81"/>
      <c r="CA81"/>
      <c r="CB81"/>
      <c r="CC81"/>
      <c r="CD81"/>
      <c r="CE81"/>
      <c r="CF81" s="28" t="s">
        <v>1992</v>
      </c>
      <c r="CG81" s="28"/>
      <c r="CH81"/>
      <c r="CI81"/>
    </row>
    <row r="82" spans="1:87">
      <c r="A82"/>
      <c r="E82" s="2" t="s">
        <v>1255</v>
      </c>
      <c r="G82" s="28" t="s">
        <v>1272</v>
      </c>
      <c r="I82" s="51" t="s">
        <v>2160</v>
      </c>
      <c r="M82" t="s">
        <v>1129</v>
      </c>
      <c r="N82" t="s">
        <v>1129</v>
      </c>
      <c r="O82" t="s">
        <v>1129</v>
      </c>
      <c r="P82" t="s">
        <v>1129</v>
      </c>
      <c r="R82" s="2" t="s">
        <v>2165</v>
      </c>
      <c r="U82" s="51" t="s">
        <v>852</v>
      </c>
      <c r="V82" s="28" t="s">
        <v>1272</v>
      </c>
      <c r="AA82" s="2"/>
      <c r="AX82" s="28" t="s">
        <v>840</v>
      </c>
      <c r="BJ82" s="2" t="s">
        <v>904</v>
      </c>
      <c r="BU82"/>
      <c r="BV82"/>
      <c r="BW82"/>
      <c r="BX82"/>
      <c r="BY82"/>
      <c r="BZ82"/>
      <c r="CA82"/>
      <c r="CB82"/>
      <c r="CC82"/>
      <c r="CD82"/>
      <c r="CE82"/>
      <c r="CF82" s="28" t="s">
        <v>1890</v>
      </c>
      <c r="CG82" s="28"/>
      <c r="CH82"/>
      <c r="CI82"/>
    </row>
    <row r="83" spans="1:87">
      <c r="A83"/>
      <c r="E83" s="2" t="s">
        <v>1261</v>
      </c>
      <c r="G83" s="2" t="s">
        <v>1278</v>
      </c>
      <c r="I83" s="51" t="s">
        <v>2164</v>
      </c>
      <c r="M83" s="51" t="s">
        <v>1135</v>
      </c>
      <c r="N83" s="51" t="s">
        <v>1135</v>
      </c>
      <c r="O83" s="51" t="s">
        <v>1135</v>
      </c>
      <c r="P83" s="51" t="s">
        <v>1135</v>
      </c>
      <c r="R83" s="2" t="s">
        <v>2167</v>
      </c>
      <c r="U83" s="51" t="s">
        <v>855</v>
      </c>
      <c r="V83" s="2" t="s">
        <v>1278</v>
      </c>
      <c r="AA83" s="2"/>
      <c r="AX83" s="28" t="s">
        <v>1755</v>
      </c>
      <c r="BJ83" s="2" t="s">
        <v>905</v>
      </c>
      <c r="BU83"/>
      <c r="BV83"/>
      <c r="BW83"/>
      <c r="BX83"/>
      <c r="BY83"/>
      <c r="BZ83"/>
      <c r="CA83"/>
      <c r="CB83"/>
      <c r="CC83"/>
      <c r="CD83"/>
      <c r="CE83"/>
      <c r="CF83" s="28" t="s">
        <v>2000</v>
      </c>
      <c r="CG83" s="28"/>
      <c r="CH83"/>
      <c r="CI83"/>
    </row>
    <row r="84" spans="1:87">
      <c r="A84"/>
      <c r="E84" s="2" t="s">
        <v>1267</v>
      </c>
      <c r="G84" s="2" t="s">
        <v>1283</v>
      </c>
      <c r="I84" s="51" t="s">
        <v>1262</v>
      </c>
      <c r="M84" s="51" t="s">
        <v>2166</v>
      </c>
      <c r="N84" s="51" t="s">
        <v>2166</v>
      </c>
      <c r="O84" s="51" t="s">
        <v>2166</v>
      </c>
      <c r="P84" s="51" t="s">
        <v>2166</v>
      </c>
      <c r="R84" s="2" t="s">
        <v>2168</v>
      </c>
      <c r="U84" s="51" t="s">
        <v>858</v>
      </c>
      <c r="V84" s="2" t="s">
        <v>1283</v>
      </c>
      <c r="AA84" s="2"/>
      <c r="AX84" s="28" t="s">
        <v>1756</v>
      </c>
      <c r="BJ84" s="2" t="s">
        <v>906</v>
      </c>
      <c r="BU84"/>
      <c r="BV84"/>
      <c r="BW84"/>
      <c r="BX84"/>
      <c r="BY84"/>
      <c r="BZ84"/>
      <c r="CA84"/>
      <c r="CB84"/>
      <c r="CC84"/>
      <c r="CD84"/>
      <c r="CE84"/>
      <c r="CF84" s="28" t="s">
        <v>2004</v>
      </c>
      <c r="CG84" s="28"/>
      <c r="CH84"/>
      <c r="CI84"/>
    </row>
    <row r="85" spans="1:87">
      <c r="A85"/>
      <c r="E85" s="2" t="s">
        <v>2172</v>
      </c>
      <c r="G85" s="28" t="s">
        <v>1288</v>
      </c>
      <c r="I85" s="51" t="s">
        <v>1246</v>
      </c>
      <c r="M85" s="51" t="s">
        <v>1142</v>
      </c>
      <c r="N85" s="51" t="s">
        <v>1142</v>
      </c>
      <c r="O85" s="51" t="s">
        <v>1142</v>
      </c>
      <c r="P85" s="51" t="s">
        <v>1142</v>
      </c>
      <c r="R85" s="2" t="s">
        <v>2171</v>
      </c>
      <c r="U85" s="28" t="s">
        <v>1243</v>
      </c>
      <c r="V85" s="28" t="s">
        <v>1288</v>
      </c>
      <c r="AA85" s="2"/>
      <c r="AX85" s="28" t="s">
        <v>1757</v>
      </c>
      <c r="BJ85" s="2" t="s">
        <v>907</v>
      </c>
      <c r="BU85"/>
      <c r="BV85"/>
      <c r="BW85"/>
      <c r="BX85"/>
      <c r="BY85"/>
      <c r="BZ85"/>
      <c r="CA85"/>
      <c r="CB85"/>
      <c r="CC85"/>
      <c r="CD85"/>
      <c r="CE85"/>
      <c r="CF85" s="28" t="s">
        <v>1680</v>
      </c>
      <c r="CG85" s="28"/>
      <c r="CH85"/>
      <c r="CI85"/>
    </row>
    <row r="86" spans="1:87">
      <c r="A86"/>
      <c r="E86" s="2" t="s">
        <v>1768</v>
      </c>
      <c r="G86" s="28" t="s">
        <v>1291</v>
      </c>
      <c r="I86" s="51" t="s">
        <v>2169</v>
      </c>
      <c r="M86" s="51" t="s">
        <v>2170</v>
      </c>
      <c r="N86" s="51" t="s">
        <v>2170</v>
      </c>
      <c r="O86" s="51" t="s">
        <v>2170</v>
      </c>
      <c r="P86" s="51" t="s">
        <v>2170</v>
      </c>
      <c r="R86" s="41" t="s">
        <v>1123</v>
      </c>
      <c r="U86" s="48" t="s">
        <v>1248</v>
      </c>
      <c r="V86" s="28" t="s">
        <v>1291</v>
      </c>
      <c r="AA86" s="2"/>
      <c r="AX86" s="2" t="s">
        <v>1382</v>
      </c>
      <c r="BJ86" s="2">
        <v>0.45</v>
      </c>
      <c r="BU86"/>
      <c r="BV86"/>
      <c r="BW86"/>
      <c r="BX86"/>
      <c r="BY86"/>
      <c r="BZ86"/>
      <c r="CA86"/>
      <c r="CB86"/>
      <c r="CC86"/>
      <c r="CD86"/>
      <c r="CE86"/>
      <c r="CF86" s="28" t="s">
        <v>1687</v>
      </c>
      <c r="CG86"/>
      <c r="CH86"/>
      <c r="CI86"/>
    </row>
    <row r="87" spans="1:87">
      <c r="A87"/>
      <c r="E87" s="2" t="s">
        <v>1400</v>
      </c>
      <c r="G87" s="28" t="s">
        <v>2177</v>
      </c>
      <c r="I87" s="51" t="s">
        <v>2173</v>
      </c>
      <c r="M87" s="51" t="s">
        <v>2174</v>
      </c>
      <c r="N87" s="51" t="s">
        <v>2174</v>
      </c>
      <c r="O87" s="51" t="s">
        <v>2174</v>
      </c>
      <c r="P87" s="51" t="s">
        <v>2174</v>
      </c>
      <c r="R87" s="2" t="s">
        <v>2176</v>
      </c>
      <c r="U87" s="28" t="s">
        <v>1253</v>
      </c>
      <c r="V87" s="28" t="s">
        <v>2177</v>
      </c>
      <c r="AA87" s="2"/>
      <c r="AX87" s="28" t="s">
        <v>1197</v>
      </c>
      <c r="BJ87" s="2">
        <v>0.46</v>
      </c>
      <c r="BU87"/>
      <c r="BV87"/>
      <c r="BW87"/>
      <c r="BX87"/>
      <c r="BY87"/>
      <c r="BZ87"/>
      <c r="CA87"/>
      <c r="CB87"/>
      <c r="CC87"/>
      <c r="CD87"/>
      <c r="CE87"/>
      <c r="CF87" s="28" t="s">
        <v>1897</v>
      </c>
      <c r="CG87"/>
      <c r="CH87"/>
      <c r="CI87"/>
    </row>
    <row r="88" spans="1:87">
      <c r="A88"/>
      <c r="E88" s="2" t="s">
        <v>1273</v>
      </c>
      <c r="G88" s="28" t="s">
        <v>2180</v>
      </c>
      <c r="I88" s="51" t="s">
        <v>1251</v>
      </c>
      <c r="M88" s="51" t="s">
        <v>2175</v>
      </c>
      <c r="N88" s="51" t="s">
        <v>2175</v>
      </c>
      <c r="O88" s="51" t="s">
        <v>2175</v>
      </c>
      <c r="P88" s="51" t="s">
        <v>2175</v>
      </c>
      <c r="R88" s="2" t="s">
        <v>2179</v>
      </c>
      <c r="U88" s="28" t="s">
        <v>1258</v>
      </c>
      <c r="V88" s="28" t="s">
        <v>2180</v>
      </c>
      <c r="AA88" s="2"/>
      <c r="AX88" s="28" t="s">
        <v>844</v>
      </c>
      <c r="BU88"/>
      <c r="BV88"/>
      <c r="BW88"/>
      <c r="BX88"/>
      <c r="BY88"/>
      <c r="BZ88"/>
      <c r="CA88"/>
      <c r="CB88"/>
      <c r="CC88"/>
      <c r="CD88"/>
      <c r="CE88"/>
      <c r="CF88" s="28" t="s">
        <v>1903</v>
      </c>
      <c r="CG88"/>
      <c r="CH88"/>
      <c r="CI88"/>
    </row>
    <row r="89" spans="1:87">
      <c r="A89"/>
      <c r="E89" s="2" t="s">
        <v>1279</v>
      </c>
      <c r="G89" s="28" t="s">
        <v>1294</v>
      </c>
      <c r="I89" s="51" t="s">
        <v>1256</v>
      </c>
      <c r="M89" s="51" t="s">
        <v>2178</v>
      </c>
      <c r="N89" s="51" t="s">
        <v>2178</v>
      </c>
      <c r="O89" s="51" t="s">
        <v>2178</v>
      </c>
      <c r="P89" s="51" t="s">
        <v>2178</v>
      </c>
      <c r="R89" s="2" t="s">
        <v>2182</v>
      </c>
      <c r="U89" s="39" t="s">
        <v>1264</v>
      </c>
      <c r="V89" s="28" t="s">
        <v>1294</v>
      </c>
      <c r="AA89" s="2"/>
      <c r="AX89" s="28" t="s">
        <v>2519</v>
      </c>
      <c r="BU89"/>
      <c r="BV89"/>
      <c r="BW89"/>
      <c r="BX89"/>
      <c r="BY89"/>
      <c r="BZ89"/>
      <c r="CA89"/>
      <c r="CB89"/>
      <c r="CC89"/>
      <c r="CD89"/>
      <c r="CE89"/>
      <c r="CF89" s="28" t="s">
        <v>1910</v>
      </c>
      <c r="CG89"/>
      <c r="CH89"/>
      <c r="CI89"/>
    </row>
    <row r="90" spans="1:87">
      <c r="A90"/>
      <c r="E90" s="2" t="s">
        <v>1285</v>
      </c>
      <c r="G90" s="28" t="s">
        <v>2185</v>
      </c>
      <c r="I90" s="51" t="s">
        <v>2545</v>
      </c>
      <c r="M90" s="60" t="s">
        <v>2181</v>
      </c>
      <c r="N90" s="60" t="s">
        <v>2181</v>
      </c>
      <c r="O90" s="60" t="s">
        <v>2181</v>
      </c>
      <c r="P90" s="60" t="s">
        <v>2181</v>
      </c>
      <c r="R90" s="2" t="s">
        <v>2184</v>
      </c>
      <c r="U90" s="28" t="s">
        <v>1271</v>
      </c>
      <c r="V90" s="28" t="s">
        <v>2185</v>
      </c>
      <c r="AA90" s="2"/>
      <c r="AX90" s="28" t="s">
        <v>2520</v>
      </c>
      <c r="BU90"/>
      <c r="BV90"/>
      <c r="BW90"/>
      <c r="BX90"/>
      <c r="BY90"/>
      <c r="BZ90"/>
      <c r="CA90"/>
      <c r="CB90"/>
      <c r="CC90"/>
      <c r="CD90"/>
      <c r="CE90"/>
      <c r="CF90" s="28" t="s">
        <v>1707</v>
      </c>
      <c r="CG90"/>
      <c r="CH90"/>
      <c r="CI90"/>
    </row>
    <row r="91" spans="1:87">
      <c r="A91"/>
      <c r="E91" s="2" t="s">
        <v>2188</v>
      </c>
      <c r="G91" s="28" t="s">
        <v>2189</v>
      </c>
      <c r="I91" s="51" t="s">
        <v>2546</v>
      </c>
      <c r="M91" s="60" t="s">
        <v>2183</v>
      </c>
      <c r="N91" s="60" t="s">
        <v>2183</v>
      </c>
      <c r="O91" s="60" t="s">
        <v>2183</v>
      </c>
      <c r="P91" s="60" t="s">
        <v>2183</v>
      </c>
      <c r="R91" s="2" t="s">
        <v>2187</v>
      </c>
      <c r="U91" s="28" t="s">
        <v>1277</v>
      </c>
      <c r="V91" s="28" t="s">
        <v>2189</v>
      </c>
      <c r="AA91" s="2"/>
      <c r="AX91" s="28" t="s">
        <v>846</v>
      </c>
      <c r="BU91"/>
      <c r="BV91"/>
      <c r="BW91"/>
      <c r="BX91"/>
      <c r="BY91"/>
      <c r="BZ91"/>
      <c r="CA91"/>
      <c r="CB91"/>
      <c r="CC91"/>
      <c r="CD91"/>
      <c r="CE91"/>
      <c r="CF91" s="28" t="s">
        <v>1914</v>
      </c>
      <c r="CG91"/>
      <c r="CH91"/>
      <c r="CI91"/>
    </row>
    <row r="92" spans="1:87">
      <c r="A92"/>
      <c r="E92" s="2" t="s">
        <v>2192</v>
      </c>
      <c r="G92" s="28" t="s">
        <v>1297</v>
      </c>
      <c r="I92" s="51" t="s">
        <v>1310</v>
      </c>
      <c r="M92" s="60" t="s">
        <v>2186</v>
      </c>
      <c r="N92" s="60" t="s">
        <v>2186</v>
      </c>
      <c r="O92" s="60" t="s">
        <v>2186</v>
      </c>
      <c r="P92" s="60" t="s">
        <v>2186</v>
      </c>
      <c r="R92" s="2" t="s">
        <v>2191</v>
      </c>
      <c r="U92" t="s">
        <v>1384</v>
      </c>
      <c r="V92" s="28" t="s">
        <v>1297</v>
      </c>
      <c r="AA92" s="2"/>
      <c r="AX92" s="28" t="s">
        <v>1759</v>
      </c>
      <c r="BU92"/>
      <c r="BV92"/>
      <c r="BW92"/>
      <c r="BX92"/>
      <c r="BY92"/>
      <c r="BZ92"/>
      <c r="CA92"/>
      <c r="CB92"/>
      <c r="CC92"/>
      <c r="CD92"/>
      <c r="CE92"/>
      <c r="CF92" s="28" t="s">
        <v>1919</v>
      </c>
      <c r="CG92"/>
      <c r="CH92"/>
      <c r="CI92"/>
    </row>
    <row r="93" spans="1:87">
      <c r="A93"/>
      <c r="E93" s="2" t="s">
        <v>2195</v>
      </c>
      <c r="G93" s="44" t="s">
        <v>1299</v>
      </c>
      <c r="I93" s="51" t="s">
        <v>1268</v>
      </c>
      <c r="M93" s="60" t="s">
        <v>2190</v>
      </c>
      <c r="N93" s="60" t="s">
        <v>2190</v>
      </c>
      <c r="O93" s="60" t="s">
        <v>2190</v>
      </c>
      <c r="P93" s="60" t="s">
        <v>2190</v>
      </c>
      <c r="R93" s="2" t="s">
        <v>2194</v>
      </c>
      <c r="U93" s="28"/>
      <c r="V93" s="44" t="s">
        <v>1299</v>
      </c>
      <c r="AA93" s="2"/>
      <c r="AX93" s="28" t="s">
        <v>2521</v>
      </c>
      <c r="BU93"/>
      <c r="BV93"/>
      <c r="BW93"/>
      <c r="BX93"/>
      <c r="BY93"/>
      <c r="BZ93"/>
      <c r="CA93"/>
      <c r="CB93"/>
      <c r="CC93"/>
      <c r="CD93"/>
      <c r="CE93"/>
      <c r="CF93" s="28" t="s">
        <v>2040</v>
      </c>
      <c r="CG93"/>
      <c r="CH93"/>
      <c r="CI93"/>
    </row>
    <row r="94" spans="1:87">
      <c r="A94"/>
      <c r="E94" s="2" t="s">
        <v>2198</v>
      </c>
      <c r="G94" s="28" t="s">
        <v>1302</v>
      </c>
      <c r="I94" s="51" t="s">
        <v>1274</v>
      </c>
      <c r="M94" s="60" t="s">
        <v>2193</v>
      </c>
      <c r="N94" s="60" t="s">
        <v>2193</v>
      </c>
      <c r="O94" s="60" t="s">
        <v>2193</v>
      </c>
      <c r="P94" s="60" t="s">
        <v>2193</v>
      </c>
      <c r="R94" s="2" t="s">
        <v>2197</v>
      </c>
      <c r="U94" s="28"/>
      <c r="V94" s="28" t="s">
        <v>1302</v>
      </c>
      <c r="AA94" s="2"/>
      <c r="AX94" s="28" t="s">
        <v>2522</v>
      </c>
      <c r="BU94"/>
      <c r="BV94"/>
      <c r="BW94"/>
      <c r="BX94"/>
      <c r="BY94"/>
      <c r="BZ94"/>
      <c r="CA94"/>
      <c r="CB94"/>
      <c r="CC94"/>
      <c r="CD94"/>
      <c r="CE94"/>
      <c r="CF94"/>
      <c r="CG94"/>
      <c r="CH94"/>
      <c r="CI94"/>
    </row>
    <row r="95" spans="1:87">
      <c r="A95"/>
      <c r="E95" s="85" t="s">
        <v>2201</v>
      </c>
      <c r="G95" s="28" t="s">
        <v>1305</v>
      </c>
      <c r="I95" s="51" t="s">
        <v>1280</v>
      </c>
      <c r="M95" s="60" t="s">
        <v>2196</v>
      </c>
      <c r="N95" s="60" t="s">
        <v>2196</v>
      </c>
      <c r="O95" s="60" t="s">
        <v>2196</v>
      </c>
      <c r="P95" s="60" t="s">
        <v>2196</v>
      </c>
      <c r="R95" s="2" t="s">
        <v>2200</v>
      </c>
      <c r="U95" s="48"/>
      <c r="V95" s="28" t="s">
        <v>1305</v>
      </c>
      <c r="AA95" s="2"/>
      <c r="AX95" s="28" t="s">
        <v>1760</v>
      </c>
      <c r="BU95"/>
      <c r="BV95"/>
      <c r="BW95"/>
      <c r="BX95"/>
      <c r="BY95"/>
      <c r="BZ95"/>
      <c r="CA95"/>
      <c r="CB95"/>
      <c r="CC95"/>
      <c r="CD95"/>
      <c r="CE95"/>
      <c r="CF95"/>
      <c r="CG95"/>
      <c r="CH95"/>
      <c r="CI95"/>
    </row>
    <row r="96" spans="1:87">
      <c r="A96"/>
      <c r="E96" s="2" t="s">
        <v>2547</v>
      </c>
      <c r="G96" s="28" t="s">
        <v>1308</v>
      </c>
      <c r="I96" s="51" t="s">
        <v>1286</v>
      </c>
      <c r="M96" s="51" t="s">
        <v>1148</v>
      </c>
      <c r="N96" s="51" t="s">
        <v>1148</v>
      </c>
      <c r="O96" s="51" t="s">
        <v>1148</v>
      </c>
      <c r="P96" s="51" t="s">
        <v>1148</v>
      </c>
      <c r="R96" s="49" t="s">
        <v>633</v>
      </c>
      <c r="U96" s="28"/>
      <c r="V96" s="28" t="s">
        <v>1308</v>
      </c>
      <c r="AA96" s="2"/>
      <c r="AX96" s="28" t="s">
        <v>2523</v>
      </c>
      <c r="BU96"/>
      <c r="BV96"/>
      <c r="BW96"/>
      <c r="BX96"/>
      <c r="BY96"/>
      <c r="BZ96"/>
      <c r="CA96"/>
      <c r="CB96"/>
      <c r="CC96"/>
      <c r="CD96"/>
      <c r="CE96"/>
      <c r="CF96"/>
      <c r="CG96"/>
      <c r="CH96"/>
      <c r="CI96"/>
    </row>
    <row r="97" spans="1:87">
      <c r="A97"/>
      <c r="E97" s="2" t="s">
        <v>1292</v>
      </c>
      <c r="G97" s="28" t="s">
        <v>1311</v>
      </c>
      <c r="I97" s="51" t="s">
        <v>1293</v>
      </c>
      <c r="M97" s="51" t="s">
        <v>1152</v>
      </c>
      <c r="N97" s="51" t="s">
        <v>1152</v>
      </c>
      <c r="O97" s="51" t="s">
        <v>1152</v>
      </c>
      <c r="P97" s="51" t="s">
        <v>1152</v>
      </c>
      <c r="R97" s="28" t="s">
        <v>1136</v>
      </c>
      <c r="U97" s="48"/>
      <c r="V97" s="28" t="s">
        <v>1311</v>
      </c>
      <c r="AA97" s="2"/>
      <c r="AX97" s="28" t="s">
        <v>1761</v>
      </c>
      <c r="BU97"/>
      <c r="BV97"/>
      <c r="BW97"/>
      <c r="BX97"/>
      <c r="BY97"/>
      <c r="BZ97"/>
      <c r="CA97"/>
      <c r="CB97"/>
      <c r="CC97"/>
      <c r="CD97"/>
      <c r="CE97"/>
      <c r="CF97"/>
      <c r="CG97"/>
      <c r="CH97"/>
      <c r="CI97"/>
    </row>
    <row r="98" spans="1:87">
      <c r="A98"/>
      <c r="E98" s="86" t="s">
        <v>1772</v>
      </c>
      <c r="G98" s="28" t="s">
        <v>1314</v>
      </c>
      <c r="I98" s="51" t="s">
        <v>2199</v>
      </c>
      <c r="M98" t="s">
        <v>1159</v>
      </c>
      <c r="N98" t="s">
        <v>1159</v>
      </c>
      <c r="O98" t="s">
        <v>1159</v>
      </c>
      <c r="P98" t="s">
        <v>1159</v>
      </c>
      <c r="R98" s="28" t="s">
        <v>664</v>
      </c>
      <c r="U98" s="48"/>
      <c r="V98" s="28" t="s">
        <v>1314</v>
      </c>
      <c r="AA98" s="2"/>
      <c r="AG98"/>
      <c r="AX98" s="28" t="s">
        <v>1762</v>
      </c>
      <c r="BU98"/>
      <c r="BV98"/>
      <c r="BW98"/>
      <c r="BX98"/>
      <c r="BY98"/>
      <c r="BZ98"/>
      <c r="CA98"/>
      <c r="CB98"/>
      <c r="CC98"/>
      <c r="CD98"/>
      <c r="CE98"/>
      <c r="CF98"/>
      <c r="CG98"/>
      <c r="CH98"/>
      <c r="CI98"/>
    </row>
    <row r="99" spans="1:87">
      <c r="A99"/>
      <c r="E99" s="2" t="s">
        <v>2204</v>
      </c>
      <c r="G99" s="28" t="s">
        <v>2207</v>
      </c>
      <c r="I99" s="51" t="s">
        <v>2202</v>
      </c>
      <c r="M99" s="51" t="s">
        <v>2203</v>
      </c>
      <c r="N99" s="51" t="s">
        <v>2203</v>
      </c>
      <c r="O99" s="51" t="s">
        <v>2203</v>
      </c>
      <c r="P99" s="51" t="s">
        <v>2203</v>
      </c>
      <c r="R99" s="28" t="s">
        <v>1149</v>
      </c>
      <c r="U99" s="48"/>
      <c r="V99" s="28" t="s">
        <v>2207</v>
      </c>
      <c r="AA99" s="2"/>
      <c r="AG99"/>
      <c r="AX99" s="28" t="s">
        <v>1764</v>
      </c>
      <c r="BU99"/>
      <c r="BV99"/>
      <c r="BW99"/>
      <c r="BX99"/>
      <c r="BY99"/>
      <c r="BZ99"/>
      <c r="CA99"/>
      <c r="CB99"/>
      <c r="CC99"/>
      <c r="CD99"/>
      <c r="CE99"/>
      <c r="CF99"/>
      <c r="CG99"/>
      <c r="CH99"/>
      <c r="CI99"/>
    </row>
    <row r="100" spans="1:87">
      <c r="A100"/>
      <c r="E100" s="2" t="s">
        <v>1295</v>
      </c>
      <c r="G100" s="28" t="s">
        <v>1317</v>
      </c>
      <c r="I100" s="51" t="s">
        <v>1296</v>
      </c>
      <c r="M100" s="51" t="s">
        <v>2206</v>
      </c>
      <c r="N100" s="51" t="s">
        <v>2206</v>
      </c>
      <c r="O100" s="51" t="s">
        <v>2206</v>
      </c>
      <c r="P100" s="51" t="s">
        <v>2206</v>
      </c>
      <c r="R100" s="28" t="s">
        <v>1153</v>
      </c>
      <c r="U100" s="28"/>
      <c r="V100" s="28" t="s">
        <v>1317</v>
      </c>
      <c r="AA100" s="2"/>
      <c r="AG100"/>
      <c r="AX100" s="28" t="s">
        <v>1765</v>
      </c>
      <c r="BU100"/>
      <c r="BV100"/>
      <c r="BW100"/>
      <c r="BX100"/>
      <c r="BY100"/>
      <c r="BZ100"/>
      <c r="CA100"/>
      <c r="CB100"/>
      <c r="CC100"/>
      <c r="CD100"/>
      <c r="CE100"/>
      <c r="CF100"/>
      <c r="CG100"/>
      <c r="CH100"/>
      <c r="CI100"/>
    </row>
    <row r="101" spans="1:87">
      <c r="A101"/>
      <c r="E101" s="85" t="s">
        <v>1775</v>
      </c>
      <c r="G101" s="28" t="s">
        <v>1320</v>
      </c>
      <c r="I101" s="51" t="s">
        <v>1298</v>
      </c>
      <c r="M101" s="51" t="s">
        <v>1164</v>
      </c>
      <c r="N101" s="51" t="s">
        <v>1164</v>
      </c>
      <c r="O101" s="51" t="s">
        <v>1164</v>
      </c>
      <c r="P101" s="51" t="s">
        <v>1164</v>
      </c>
      <c r="R101" s="28" t="s">
        <v>2210</v>
      </c>
      <c r="U101" s="28"/>
      <c r="V101" s="28" t="s">
        <v>1320</v>
      </c>
      <c r="AA101" s="2"/>
      <c r="AG101"/>
      <c r="AK101"/>
      <c r="AX101" s="28" t="s">
        <v>158</v>
      </c>
      <c r="BU101"/>
      <c r="BV101"/>
      <c r="BW101"/>
      <c r="BX101"/>
      <c r="BY101"/>
      <c r="BZ101"/>
      <c r="CA101"/>
      <c r="CB101"/>
      <c r="CC101"/>
      <c r="CD101"/>
      <c r="CE101"/>
      <c r="CF101"/>
      <c r="CG101"/>
      <c r="CH101"/>
      <c r="CI101"/>
    </row>
    <row r="102" spans="1:87">
      <c r="A102"/>
      <c r="E102" s="85" t="s">
        <v>1777</v>
      </c>
      <c r="G102" s="28" t="s">
        <v>1323</v>
      </c>
      <c r="I102" s="51" t="s">
        <v>2205</v>
      </c>
      <c r="M102" s="51" t="s">
        <v>1170</v>
      </c>
      <c r="N102" s="51" t="s">
        <v>1170</v>
      </c>
      <c r="O102" s="51" t="s">
        <v>1170</v>
      </c>
      <c r="P102" s="51" t="s">
        <v>1170</v>
      </c>
      <c r="R102" s="28" t="s">
        <v>2211</v>
      </c>
      <c r="U102" s="28"/>
      <c r="V102" s="28" t="s">
        <v>1323</v>
      </c>
      <c r="AA102" s="2"/>
      <c r="AG102"/>
      <c r="AK102"/>
      <c r="AX102" s="28" t="s">
        <v>1766</v>
      </c>
      <c r="BU102"/>
      <c r="BV102"/>
      <c r="BW102"/>
      <c r="BX102"/>
      <c r="BY102"/>
      <c r="BZ102"/>
      <c r="CA102"/>
      <c r="CB102"/>
      <c r="CC102"/>
      <c r="CD102"/>
      <c r="CE102"/>
      <c r="CF102"/>
      <c r="CG102"/>
      <c r="CH102"/>
      <c r="CI102"/>
    </row>
    <row r="103" spans="1:87">
      <c r="A103"/>
      <c r="E103" s="85" t="s">
        <v>1778</v>
      </c>
      <c r="G103" s="28" t="s">
        <v>1325</v>
      </c>
      <c r="I103" s="51" t="s">
        <v>2208</v>
      </c>
      <c r="M103" s="51" t="s">
        <v>1176</v>
      </c>
      <c r="N103" s="51" t="s">
        <v>1176</v>
      </c>
      <c r="O103" s="51" t="s">
        <v>1176</v>
      </c>
      <c r="P103" s="51" t="s">
        <v>1176</v>
      </c>
      <c r="R103" s="2" t="s">
        <v>2212</v>
      </c>
      <c r="U103" s="28"/>
      <c r="V103" s="28" t="s">
        <v>1325</v>
      </c>
      <c r="AA103" s="2"/>
      <c r="AG103"/>
      <c r="AK103"/>
      <c r="AX103" s="28" t="s">
        <v>627</v>
      </c>
      <c r="BU103"/>
      <c r="BV103"/>
      <c r="BW103"/>
      <c r="BX103"/>
      <c r="BY103"/>
      <c r="BZ103"/>
      <c r="CA103"/>
      <c r="CB103"/>
      <c r="CC103"/>
      <c r="CD103"/>
      <c r="CE103"/>
      <c r="CF103"/>
      <c r="CG103"/>
      <c r="CH103"/>
      <c r="CI103"/>
    </row>
    <row r="104" spans="1:87">
      <c r="A104"/>
      <c r="E104" s="85" t="s">
        <v>1779</v>
      </c>
      <c r="G104" s="28" t="s">
        <v>2215</v>
      </c>
      <c r="I104" s="51" t="s">
        <v>2209</v>
      </c>
      <c r="M104" s="51" t="s">
        <v>1181</v>
      </c>
      <c r="N104" s="51" t="s">
        <v>1181</v>
      </c>
      <c r="O104" s="51" t="s">
        <v>1181</v>
      </c>
      <c r="P104" s="51" t="s">
        <v>1181</v>
      </c>
      <c r="R104" s="2" t="s">
        <v>2214</v>
      </c>
      <c r="U104" s="28"/>
      <c r="V104" s="28" t="s">
        <v>2215</v>
      </c>
      <c r="AA104" s="2"/>
      <c r="AG104"/>
      <c r="AK104"/>
      <c r="AX104" s="28" t="s">
        <v>1767</v>
      </c>
      <c r="BU104"/>
      <c r="BV104"/>
      <c r="BW104"/>
      <c r="BX104"/>
      <c r="BY104"/>
      <c r="BZ104"/>
      <c r="CA104"/>
      <c r="CB104"/>
      <c r="CC104"/>
      <c r="CD104"/>
      <c r="CE104"/>
      <c r="CF104"/>
      <c r="CG104"/>
      <c r="CH104"/>
      <c r="CI104"/>
    </row>
    <row r="105" spans="1:87">
      <c r="A105"/>
      <c r="E105" s="85" t="s">
        <v>1780</v>
      </c>
      <c r="G105" s="28" t="s">
        <v>2218</v>
      </c>
      <c r="I105" s="51" t="s">
        <v>1301</v>
      </c>
      <c r="M105" s="51" t="s">
        <v>1187</v>
      </c>
      <c r="N105" s="51" t="s">
        <v>1187</v>
      </c>
      <c r="O105" s="51" t="s">
        <v>1187</v>
      </c>
      <c r="P105" s="51" t="s">
        <v>1187</v>
      </c>
      <c r="R105" s="2" t="s">
        <v>2217</v>
      </c>
      <c r="U105" s="28"/>
      <c r="V105" s="28" t="s">
        <v>2218</v>
      </c>
      <c r="AA105" s="2"/>
      <c r="AG105"/>
      <c r="AH105"/>
      <c r="AK105"/>
      <c r="AX105" s="28" t="s">
        <v>485</v>
      </c>
      <c r="BU105"/>
      <c r="BV105"/>
      <c r="BW105"/>
      <c r="BX105"/>
      <c r="BY105"/>
      <c r="BZ105"/>
      <c r="CA105"/>
      <c r="CB105"/>
      <c r="CC105"/>
      <c r="CD105"/>
      <c r="CE105"/>
      <c r="CF105"/>
      <c r="CG105"/>
      <c r="CH105"/>
      <c r="CI105"/>
    </row>
    <row r="106" spans="1:87">
      <c r="A106"/>
      <c r="E106" s="85" t="s">
        <v>1781</v>
      </c>
      <c r="G106" s="28" t="s">
        <v>2220</v>
      </c>
      <c r="I106" s="51" t="s">
        <v>1304</v>
      </c>
      <c r="M106" s="51" t="s">
        <v>1194</v>
      </c>
      <c r="N106" s="51" t="s">
        <v>1194</v>
      </c>
      <c r="O106" s="51" t="s">
        <v>1194</v>
      </c>
      <c r="P106" s="51" t="s">
        <v>1194</v>
      </c>
      <c r="R106" s="2" t="s">
        <v>2219</v>
      </c>
      <c r="U106" s="28"/>
      <c r="V106" s="28" t="s">
        <v>2220</v>
      </c>
      <c r="AA106" s="2"/>
      <c r="AG106"/>
      <c r="AH106"/>
      <c r="AK106"/>
      <c r="AX106" s="2" t="s">
        <v>853</v>
      </c>
      <c r="BU106"/>
      <c r="BV106"/>
      <c r="BW106"/>
      <c r="BX106"/>
      <c r="BY106"/>
      <c r="BZ106"/>
      <c r="CA106"/>
      <c r="CB106"/>
      <c r="CC106"/>
      <c r="CD106"/>
      <c r="CE106"/>
      <c r="CF106"/>
      <c r="CG106"/>
      <c r="CH106"/>
      <c r="CI106"/>
    </row>
    <row r="107" spans="1:87">
      <c r="A107"/>
      <c r="E107" s="2" t="s">
        <v>1300</v>
      </c>
      <c r="G107" s="28" t="s">
        <v>2223</v>
      </c>
      <c r="I107" s="51" t="s">
        <v>2213</v>
      </c>
      <c r="M107" s="51" t="s">
        <v>1201</v>
      </c>
      <c r="N107" s="51" t="s">
        <v>1201</v>
      </c>
      <c r="O107" s="51" t="s">
        <v>1201</v>
      </c>
      <c r="P107" s="51" t="s">
        <v>1201</v>
      </c>
      <c r="R107" s="2" t="s">
        <v>2222</v>
      </c>
      <c r="U107" s="28"/>
      <c r="V107" s="28" t="s">
        <v>2223</v>
      </c>
      <c r="AA107" s="2"/>
      <c r="AG107"/>
      <c r="AH107"/>
      <c r="AK107"/>
      <c r="AX107" s="2" t="s">
        <v>2524</v>
      </c>
      <c r="BU107"/>
      <c r="BV107"/>
      <c r="BW107"/>
      <c r="BX107"/>
      <c r="BY107"/>
      <c r="BZ107"/>
      <c r="CA107"/>
      <c r="CB107"/>
      <c r="CC107"/>
      <c r="CD107"/>
      <c r="CE107"/>
      <c r="CF107"/>
      <c r="CG107"/>
      <c r="CH107"/>
      <c r="CI107"/>
    </row>
    <row r="108" spans="1:87">
      <c r="A108"/>
      <c r="E108" s="2" t="s">
        <v>1303</v>
      </c>
      <c r="G108" s="51" t="s">
        <v>1023</v>
      </c>
      <c r="I108" s="51" t="s">
        <v>2216</v>
      </c>
      <c r="M108" s="60" t="s">
        <v>1205</v>
      </c>
      <c r="N108" s="60" t="s">
        <v>1205</v>
      </c>
      <c r="O108" s="60" t="s">
        <v>1205</v>
      </c>
      <c r="P108" s="60" t="s">
        <v>1205</v>
      </c>
      <c r="R108" s="2" t="s">
        <v>2226</v>
      </c>
      <c r="U108" s="28"/>
      <c r="V108" s="51" t="s">
        <v>1023</v>
      </c>
      <c r="AA108" s="2"/>
      <c r="AG108"/>
      <c r="AH108"/>
      <c r="AK108"/>
      <c r="AM108"/>
      <c r="AX108" s="2" t="s">
        <v>856</v>
      </c>
      <c r="BU108"/>
      <c r="BV108"/>
      <c r="BW108"/>
      <c r="BX108"/>
      <c r="BY108"/>
      <c r="BZ108"/>
      <c r="CA108"/>
      <c r="CB108"/>
      <c r="CC108"/>
      <c r="CD108"/>
      <c r="CE108"/>
      <c r="CF108"/>
      <c r="CG108"/>
      <c r="CH108"/>
      <c r="CI108"/>
    </row>
    <row r="109" spans="1:87">
      <c r="A109"/>
      <c r="E109" s="2" t="s">
        <v>1306</v>
      </c>
      <c r="G109" s="51" t="s">
        <v>1036</v>
      </c>
      <c r="I109" s="51" t="s">
        <v>1307</v>
      </c>
      <c r="M109" s="51" t="s">
        <v>2225</v>
      </c>
      <c r="N109" s="51" t="s">
        <v>2225</v>
      </c>
      <c r="O109" s="51" t="s">
        <v>2225</v>
      </c>
      <c r="P109" s="51" t="s">
        <v>2225</v>
      </c>
      <c r="R109" s="2" t="s">
        <v>1782</v>
      </c>
      <c r="U109" s="28"/>
      <c r="V109" s="51" t="s">
        <v>1036</v>
      </c>
      <c r="AA109" s="2"/>
      <c r="AG109"/>
      <c r="AH109"/>
      <c r="AK109"/>
      <c r="AM109"/>
      <c r="AX109" s="28" t="s">
        <v>859</v>
      </c>
      <c r="BU109"/>
      <c r="BV109"/>
      <c r="BW109"/>
      <c r="BX109"/>
      <c r="BY109"/>
      <c r="BZ109"/>
      <c r="CA109"/>
      <c r="CB109"/>
      <c r="CC109"/>
      <c r="CD109"/>
      <c r="CE109"/>
      <c r="CF109"/>
      <c r="CG109"/>
      <c r="CH109"/>
      <c r="CI109"/>
    </row>
    <row r="110" spans="1:87">
      <c r="A110"/>
      <c r="E110" s="2" t="s">
        <v>1309</v>
      </c>
      <c r="G110" s="51" t="s">
        <v>1048</v>
      </c>
      <c r="I110" s="51" t="s">
        <v>2221</v>
      </c>
      <c r="M110" s="51" t="s">
        <v>2228</v>
      </c>
      <c r="N110" s="51" t="s">
        <v>2228</v>
      </c>
      <c r="O110" s="51" t="s">
        <v>2228</v>
      </c>
      <c r="P110" s="51" t="s">
        <v>2228</v>
      </c>
      <c r="R110" s="2" t="s">
        <v>2231</v>
      </c>
      <c r="U110" s="28"/>
      <c r="V110" s="51" t="s">
        <v>1048</v>
      </c>
      <c r="AA110" s="2"/>
      <c r="AG110"/>
      <c r="AH110"/>
      <c r="AJ110"/>
      <c r="AK110"/>
      <c r="AM110"/>
      <c r="AX110" s="28" t="s">
        <v>628</v>
      </c>
      <c r="BU110"/>
      <c r="BV110"/>
      <c r="BW110"/>
      <c r="BX110"/>
      <c r="BY110"/>
      <c r="BZ110"/>
      <c r="CA110"/>
      <c r="CB110"/>
      <c r="CC110"/>
      <c r="CD110"/>
      <c r="CE110"/>
      <c r="CF110"/>
      <c r="CG110"/>
      <c r="CH110"/>
      <c r="CI110"/>
    </row>
    <row r="111" spans="1:87">
      <c r="A111"/>
      <c r="E111" s="2" t="s">
        <v>1312</v>
      </c>
      <c r="G111" s="51" t="s">
        <v>1058</v>
      </c>
      <c r="I111" s="51" t="s">
        <v>2224</v>
      </c>
      <c r="M111" s="51" t="s">
        <v>2230</v>
      </c>
      <c r="N111" s="51" t="s">
        <v>2230</v>
      </c>
      <c r="O111" s="51" t="s">
        <v>2230</v>
      </c>
      <c r="P111" s="51" t="s">
        <v>2230</v>
      </c>
      <c r="R111" s="2" t="s">
        <v>2232</v>
      </c>
      <c r="U111" s="28"/>
      <c r="V111" s="51" t="s">
        <v>1058</v>
      </c>
      <c r="AA111" s="2"/>
      <c r="AG111"/>
      <c r="AH111"/>
      <c r="AJ111"/>
      <c r="AK111"/>
      <c r="AM111"/>
      <c r="AX111" s="28" t="s">
        <v>1769</v>
      </c>
      <c r="BU111"/>
      <c r="BV111"/>
      <c r="BW111"/>
      <c r="BX111"/>
      <c r="BY111"/>
      <c r="BZ111"/>
      <c r="CA111"/>
      <c r="CB111"/>
      <c r="CC111"/>
      <c r="CD111"/>
      <c r="CE111"/>
      <c r="CF111"/>
      <c r="CG111"/>
      <c r="CH111"/>
      <c r="CI111"/>
    </row>
    <row r="112" spans="1:87">
      <c r="A112"/>
      <c r="E112" s="2" t="s">
        <v>1315</v>
      </c>
      <c r="G112" s="51" t="s">
        <v>1067</v>
      </c>
      <c r="I112" s="51" t="s">
        <v>2227</v>
      </c>
      <c r="M112" s="60" t="s">
        <v>1211</v>
      </c>
      <c r="N112" s="60" t="s">
        <v>1211</v>
      </c>
      <c r="O112" s="60" t="s">
        <v>1211</v>
      </c>
      <c r="P112" s="60" t="s">
        <v>1211</v>
      </c>
      <c r="R112" s="2" t="s">
        <v>2234</v>
      </c>
      <c r="U112" s="28"/>
      <c r="V112" s="51" t="s">
        <v>1067</v>
      </c>
      <c r="AA112" s="2"/>
      <c r="AG112"/>
      <c r="AH112"/>
      <c r="AJ112"/>
      <c r="AK112"/>
      <c r="AM112"/>
      <c r="AX112" s="28" t="s">
        <v>629</v>
      </c>
      <c r="BU112"/>
      <c r="BV112"/>
      <c r="BW112"/>
      <c r="BX112"/>
      <c r="BY112"/>
      <c r="BZ112"/>
      <c r="CA112"/>
      <c r="CB112"/>
      <c r="CC112"/>
      <c r="CD112"/>
      <c r="CE112"/>
      <c r="CF112"/>
      <c r="CG112"/>
      <c r="CH112"/>
      <c r="CI112"/>
    </row>
    <row r="113" spans="1:87">
      <c r="A113"/>
      <c r="B113"/>
      <c r="C113"/>
      <c r="D113"/>
      <c r="E113" s="2" t="s">
        <v>1318</v>
      </c>
      <c r="G113" s="51" t="s">
        <v>1075</v>
      </c>
      <c r="I113" s="51" t="s">
        <v>2229</v>
      </c>
      <c r="J113"/>
      <c r="K113"/>
      <c r="L113"/>
      <c r="M113" s="51" t="s">
        <v>2233</v>
      </c>
      <c r="N113" s="51" t="s">
        <v>2233</v>
      </c>
      <c r="O113" s="51" t="s">
        <v>2233</v>
      </c>
      <c r="P113" s="51" t="s">
        <v>2233</v>
      </c>
      <c r="Q113"/>
      <c r="R113" s="2" t="s">
        <v>2236</v>
      </c>
      <c r="T113"/>
      <c r="U113" s="28"/>
      <c r="V113" s="51" t="s">
        <v>1075</v>
      </c>
      <c r="W113"/>
      <c r="AA113" s="2"/>
      <c r="AB113"/>
      <c r="AE113"/>
      <c r="AF113"/>
      <c r="AG113"/>
      <c r="AH113"/>
      <c r="AI113"/>
      <c r="AJ113"/>
      <c r="AK113"/>
      <c r="AL113"/>
      <c r="AM113"/>
      <c r="AN113"/>
      <c r="AO113"/>
      <c r="AQ113"/>
      <c r="AR113"/>
      <c r="AS113"/>
      <c r="AU113"/>
      <c r="AV113"/>
      <c r="AW113"/>
      <c r="AX113" s="28" t="s">
        <v>1770</v>
      </c>
      <c r="AY113"/>
      <c r="AZ113"/>
      <c r="BB113"/>
      <c r="BC113"/>
      <c r="BD113"/>
      <c r="BE113"/>
      <c r="BF113"/>
      <c r="BG113"/>
      <c r="BH113"/>
      <c r="BI113"/>
      <c r="BJ113"/>
      <c r="BK113"/>
      <c r="BM113"/>
      <c r="BN113"/>
      <c r="BO113"/>
      <c r="BQ113"/>
      <c r="BU113"/>
      <c r="BV113"/>
      <c r="BW113"/>
      <c r="BX113"/>
      <c r="BY113"/>
      <c r="BZ113"/>
      <c r="CA113"/>
      <c r="CB113"/>
      <c r="CC113"/>
      <c r="CD113"/>
      <c r="CE113"/>
      <c r="CF113"/>
      <c r="CG113"/>
      <c r="CH113"/>
      <c r="CI113"/>
    </row>
    <row r="114" spans="1:87">
      <c r="A114"/>
      <c r="B114"/>
      <c r="C114"/>
      <c r="D114"/>
      <c r="E114" s="39" t="s">
        <v>1321</v>
      </c>
      <c r="F114"/>
      <c r="G114" s="51" t="s">
        <v>1081</v>
      </c>
      <c r="I114" s="51" t="s">
        <v>1313</v>
      </c>
      <c r="J114"/>
      <c r="K114"/>
      <c r="L114"/>
      <c r="M114" s="51" t="s">
        <v>2235</v>
      </c>
      <c r="N114" s="51" t="s">
        <v>2235</v>
      </c>
      <c r="O114" s="51" t="s">
        <v>2235</v>
      </c>
      <c r="P114" s="51" t="s">
        <v>2235</v>
      </c>
      <c r="Q114"/>
      <c r="R114" s="2" t="s">
        <v>2238</v>
      </c>
      <c r="T114"/>
      <c r="U114" s="28"/>
      <c r="V114" s="51" t="s">
        <v>1081</v>
      </c>
      <c r="W114"/>
      <c r="Y114"/>
      <c r="AA114" s="2"/>
      <c r="AB114"/>
      <c r="AE114"/>
      <c r="AF114"/>
      <c r="AG114"/>
      <c r="AH114"/>
      <c r="AI114"/>
      <c r="AJ114"/>
      <c r="AK114"/>
      <c r="AL114"/>
      <c r="AM114"/>
      <c r="AN114"/>
      <c r="AO114"/>
      <c r="AP114"/>
      <c r="AQ114"/>
      <c r="AR114"/>
      <c r="AS114"/>
      <c r="AT114"/>
      <c r="AU114"/>
      <c r="AV114"/>
      <c r="AW114"/>
      <c r="AX114" s="28" t="s">
        <v>1771</v>
      </c>
      <c r="AY114"/>
      <c r="AZ114"/>
      <c r="BA114"/>
      <c r="BB114"/>
      <c r="BC114"/>
      <c r="BD114"/>
      <c r="BE114"/>
      <c r="BF114"/>
      <c r="BG114"/>
      <c r="BH114"/>
      <c r="BI114"/>
      <c r="BJ114"/>
      <c r="BK114"/>
      <c r="BL114"/>
      <c r="BM114"/>
      <c r="BN114"/>
      <c r="BO114"/>
      <c r="BQ114"/>
      <c r="BU114"/>
      <c r="BV114"/>
      <c r="BW114"/>
      <c r="BX114"/>
      <c r="BY114"/>
      <c r="BZ114"/>
      <c r="CA114"/>
      <c r="CB114"/>
      <c r="CC114"/>
      <c r="CD114"/>
      <c r="CE114"/>
      <c r="CF114"/>
      <c r="CG114"/>
      <c r="CH114"/>
      <c r="CI114"/>
    </row>
    <row r="115" spans="1:87">
      <c r="A115"/>
      <c r="B115"/>
      <c r="C115"/>
      <c r="D115"/>
      <c r="E115" s="39" t="s">
        <v>2239</v>
      </c>
      <c r="F115"/>
      <c r="G115" s="51" t="s">
        <v>1180</v>
      </c>
      <c r="I115" s="60" t="s">
        <v>1316</v>
      </c>
      <c r="J115"/>
      <c r="K115"/>
      <c r="L115"/>
      <c r="M115" s="51" t="s">
        <v>2237</v>
      </c>
      <c r="N115" s="51" t="s">
        <v>2237</v>
      </c>
      <c r="O115" s="51" t="s">
        <v>2237</v>
      </c>
      <c r="P115" s="51" t="s">
        <v>2237</v>
      </c>
      <c r="Q115"/>
      <c r="R115" s="2" t="s">
        <v>2241</v>
      </c>
      <c r="T115"/>
      <c r="U115" s="28"/>
      <c r="V115" s="51" t="s">
        <v>1180</v>
      </c>
      <c r="W115"/>
      <c r="X115"/>
      <c r="Y115"/>
      <c r="AA115" s="2"/>
      <c r="AB115"/>
      <c r="AE115"/>
      <c r="AF115"/>
      <c r="AG115"/>
      <c r="AH115"/>
      <c r="AI115"/>
      <c r="AJ115"/>
      <c r="AK115"/>
      <c r="AL115"/>
      <c r="AM115"/>
      <c r="AN115"/>
      <c r="AO115"/>
      <c r="AP115"/>
      <c r="AQ115"/>
      <c r="AR115"/>
      <c r="AS115"/>
      <c r="AT115"/>
      <c r="AU115"/>
      <c r="AV115"/>
      <c r="AW115"/>
      <c r="AX115" s="2" t="s">
        <v>1385</v>
      </c>
      <c r="AY115"/>
      <c r="AZ115"/>
      <c r="BA115"/>
      <c r="BB115"/>
      <c r="BC115"/>
      <c r="BD115"/>
      <c r="BE115"/>
      <c r="BF115"/>
      <c r="BG115"/>
      <c r="BH115"/>
      <c r="BI115"/>
      <c r="BJ115"/>
      <c r="BK115"/>
      <c r="BL115"/>
      <c r="BM115"/>
      <c r="BN115"/>
      <c r="BO115"/>
      <c r="BQ115"/>
      <c r="BR115"/>
      <c r="BU115"/>
      <c r="BV115"/>
      <c r="BW115"/>
      <c r="BX115"/>
      <c r="BY115"/>
      <c r="BZ115"/>
      <c r="CA115"/>
      <c r="CB115"/>
      <c r="CC115"/>
      <c r="CD115"/>
      <c r="CE115"/>
      <c r="CF115"/>
      <c r="CG115"/>
      <c r="CH115"/>
      <c r="CI115"/>
    </row>
    <row r="116" spans="1:87">
      <c r="A116"/>
      <c r="B116"/>
      <c r="C116"/>
      <c r="D116"/>
      <c r="E116" s="87" t="s">
        <v>1783</v>
      </c>
      <c r="F116"/>
      <c r="G116" s="75" t="s">
        <v>1180</v>
      </c>
      <c r="I116" s="51" t="s">
        <v>1319</v>
      </c>
      <c r="J116"/>
      <c r="K116"/>
      <c r="L116"/>
      <c r="M116" s="51" t="s">
        <v>2240</v>
      </c>
      <c r="N116" s="51" t="s">
        <v>2240</v>
      </c>
      <c r="O116" s="51" t="s">
        <v>2240</v>
      </c>
      <c r="P116" s="51" t="s">
        <v>2240</v>
      </c>
      <c r="Q116"/>
      <c r="R116" s="2" t="s">
        <v>2244</v>
      </c>
      <c r="T116"/>
      <c r="U116" s="28"/>
      <c r="V116" s="75" t="s">
        <v>1180</v>
      </c>
      <c r="W116"/>
      <c r="X116"/>
      <c r="Y116"/>
      <c r="AB116"/>
      <c r="AE116"/>
      <c r="AF116"/>
      <c r="AG116"/>
      <c r="AH116"/>
      <c r="AI116"/>
      <c r="AJ116"/>
      <c r="AK116"/>
      <c r="AL116"/>
      <c r="AM116"/>
      <c r="AN116"/>
      <c r="AO116"/>
      <c r="AP116"/>
      <c r="AQ116"/>
      <c r="AR116"/>
      <c r="AS116"/>
      <c r="AT116"/>
      <c r="AU116"/>
      <c r="AV116"/>
      <c r="AW116"/>
      <c r="AX116" s="2" t="s">
        <v>2525</v>
      </c>
      <c r="AY116"/>
      <c r="AZ116"/>
      <c r="BA116"/>
      <c r="BB116"/>
      <c r="BC116"/>
      <c r="BD116"/>
      <c r="BE116"/>
      <c r="BF116"/>
      <c r="BG116"/>
      <c r="BH116"/>
      <c r="BI116"/>
      <c r="BJ116"/>
      <c r="BK116"/>
      <c r="BL116"/>
      <c r="BM116"/>
      <c r="BN116"/>
      <c r="BO116"/>
      <c r="BQ116"/>
      <c r="BR116"/>
      <c r="BU116"/>
      <c r="BV116"/>
      <c r="BW116"/>
      <c r="BX116"/>
      <c r="BY116"/>
      <c r="BZ116"/>
      <c r="CA116"/>
      <c r="CB116"/>
      <c r="CC116"/>
      <c r="CD116"/>
      <c r="CE116"/>
      <c r="CF116"/>
      <c r="CG116"/>
      <c r="CH116"/>
      <c r="CI116"/>
    </row>
    <row r="117" spans="1:87">
      <c r="A117"/>
      <c r="B117"/>
      <c r="C117"/>
      <c r="D117"/>
      <c r="E117" s="87" t="s">
        <v>1784</v>
      </c>
      <c r="F117"/>
      <c r="G117" s="51" t="s">
        <v>1193</v>
      </c>
      <c r="I117" s="75" t="s">
        <v>1322</v>
      </c>
      <c r="J117"/>
      <c r="K117"/>
      <c r="L117"/>
      <c r="M117" s="51" t="s">
        <v>2243</v>
      </c>
      <c r="N117" s="51" t="s">
        <v>2243</v>
      </c>
      <c r="O117" s="51" t="s">
        <v>2243</v>
      </c>
      <c r="P117" s="51" t="s">
        <v>2243</v>
      </c>
      <c r="Q117"/>
      <c r="R117" s="2" t="s">
        <v>2246</v>
      </c>
      <c r="T117"/>
      <c r="U117" s="28"/>
      <c r="V117" s="51" t="s">
        <v>1193</v>
      </c>
      <c r="W117"/>
      <c r="X117"/>
      <c r="Y117"/>
      <c r="AB117"/>
      <c r="AE117"/>
      <c r="AF117"/>
      <c r="AG117"/>
      <c r="AH117"/>
      <c r="AI117"/>
      <c r="AJ117"/>
      <c r="AK117"/>
      <c r="AL117"/>
      <c r="AM117"/>
      <c r="AN117"/>
      <c r="AO117"/>
      <c r="AP117"/>
      <c r="AQ117"/>
      <c r="AR117"/>
      <c r="AS117"/>
      <c r="AT117"/>
      <c r="AU117"/>
      <c r="AV117"/>
      <c r="AW117"/>
      <c r="AX117" s="2" t="s">
        <v>1386</v>
      </c>
      <c r="AY117"/>
      <c r="AZ117"/>
      <c r="BA117"/>
      <c r="BB117"/>
      <c r="BC117"/>
      <c r="BD117"/>
      <c r="BE117"/>
      <c r="BF117"/>
      <c r="BG117"/>
      <c r="BH117"/>
      <c r="BI117"/>
      <c r="BJ117"/>
      <c r="BK117"/>
      <c r="BL117"/>
      <c r="BM117"/>
      <c r="BN117"/>
      <c r="BO117"/>
      <c r="BQ117"/>
      <c r="BR117"/>
      <c r="BU117"/>
      <c r="BV117"/>
      <c r="BW117"/>
      <c r="BX117"/>
      <c r="BY117"/>
      <c r="BZ117"/>
      <c r="CA117"/>
      <c r="CB117"/>
      <c r="CC117"/>
      <c r="CD117"/>
      <c r="CE117"/>
      <c r="CF117"/>
      <c r="CG117"/>
      <c r="CH117"/>
      <c r="CI117"/>
    </row>
    <row r="118" spans="1:87">
      <c r="A118"/>
      <c r="B118"/>
      <c r="C118"/>
      <c r="D118"/>
      <c r="E118" s="87" t="s">
        <v>1785</v>
      </c>
      <c r="F118"/>
      <c r="G118" s="75" t="s">
        <v>2005</v>
      </c>
      <c r="I118" s="51" t="s">
        <v>1324</v>
      </c>
      <c r="J118"/>
      <c r="K118"/>
      <c r="L118"/>
      <c r="M118" s="51" t="s">
        <v>2245</v>
      </c>
      <c r="N118" s="51" t="s">
        <v>2245</v>
      </c>
      <c r="O118" s="51" t="s">
        <v>2245</v>
      </c>
      <c r="P118" s="51" t="s">
        <v>2245</v>
      </c>
      <c r="Q118"/>
      <c r="R118" s="2" t="s">
        <v>2249</v>
      </c>
      <c r="T118"/>
      <c r="U118" s="28"/>
      <c r="V118" s="75" t="s">
        <v>2005</v>
      </c>
      <c r="W118"/>
      <c r="X118"/>
      <c r="Y118"/>
      <c r="Z118"/>
      <c r="AB118"/>
      <c r="AE118"/>
      <c r="AF118"/>
      <c r="AG118"/>
      <c r="AH118"/>
      <c r="AI118"/>
      <c r="AJ118"/>
      <c r="AK118"/>
      <c r="AL118"/>
      <c r="AM118"/>
      <c r="AN118"/>
      <c r="AO118"/>
      <c r="AP118"/>
      <c r="AQ118"/>
      <c r="AR118"/>
      <c r="AS118"/>
      <c r="AT118"/>
      <c r="AU118"/>
      <c r="AV118"/>
      <c r="AW118"/>
      <c r="AX118" s="2" t="s">
        <v>1773</v>
      </c>
      <c r="AY118"/>
      <c r="AZ118"/>
      <c r="BA118"/>
      <c r="BB118"/>
      <c r="BC118"/>
      <c r="BD118"/>
      <c r="BE118"/>
      <c r="BF118"/>
      <c r="BG118"/>
      <c r="BH118"/>
      <c r="BI118"/>
      <c r="BJ118"/>
      <c r="BK118"/>
      <c r="BL118"/>
      <c r="BM118"/>
      <c r="BN118"/>
      <c r="BO118"/>
      <c r="BP118"/>
      <c r="BQ118"/>
      <c r="BR118"/>
      <c r="BU118"/>
      <c r="BV118"/>
      <c r="BW118"/>
      <c r="BX118"/>
      <c r="BY118"/>
      <c r="BZ118"/>
      <c r="CA118"/>
      <c r="CB118"/>
      <c r="CC118"/>
      <c r="CD118"/>
      <c r="CE118"/>
      <c r="CF118"/>
      <c r="CG118"/>
      <c r="CH118"/>
      <c r="CI118"/>
    </row>
    <row r="119" spans="1:87">
      <c r="A119"/>
      <c r="B119"/>
      <c r="C119"/>
      <c r="D119"/>
      <c r="E119" s="87" t="s">
        <v>1786</v>
      </c>
      <c r="F119"/>
      <c r="G119" s="75" t="s">
        <v>1200</v>
      </c>
      <c r="I119" s="51" t="s">
        <v>2242</v>
      </c>
      <c r="J119"/>
      <c r="K119"/>
      <c r="L119"/>
      <c r="M119" s="51" t="s">
        <v>2248</v>
      </c>
      <c r="N119" s="51" t="s">
        <v>2248</v>
      </c>
      <c r="O119" s="51" t="s">
        <v>2248</v>
      </c>
      <c r="P119" s="51" t="s">
        <v>2248</v>
      </c>
      <c r="Q119"/>
      <c r="R119" s="2" t="s">
        <v>2250</v>
      </c>
      <c r="T119"/>
      <c r="U119" s="28"/>
      <c r="V119" s="75" t="s">
        <v>1200</v>
      </c>
      <c r="W119"/>
      <c r="X119"/>
      <c r="Y119"/>
      <c r="Z119"/>
      <c r="AB119"/>
      <c r="AE119"/>
      <c r="AF119"/>
      <c r="AG119"/>
      <c r="AH119"/>
      <c r="AI119"/>
      <c r="AJ119"/>
      <c r="AK119"/>
      <c r="AL119"/>
      <c r="AM119"/>
      <c r="AN119"/>
      <c r="AO119"/>
      <c r="AP119"/>
      <c r="AQ119"/>
      <c r="AR119"/>
      <c r="AS119"/>
      <c r="AT119"/>
      <c r="AU119"/>
      <c r="AV119"/>
      <c r="AW119"/>
      <c r="AX119" s="2" t="s">
        <v>1774</v>
      </c>
      <c r="AY119"/>
      <c r="AZ119"/>
      <c r="BA119"/>
      <c r="BB119"/>
      <c r="BC119"/>
      <c r="BD119"/>
      <c r="BE119"/>
      <c r="BF119"/>
      <c r="BG119"/>
      <c r="BH119"/>
      <c r="BI119"/>
      <c r="BJ119"/>
      <c r="BK119"/>
      <c r="BL119"/>
      <c r="BM119"/>
      <c r="BN119"/>
      <c r="BO119"/>
      <c r="BP119"/>
      <c r="BQ119"/>
      <c r="BR119"/>
      <c r="BU119"/>
      <c r="BV119"/>
      <c r="BW119"/>
      <c r="BX119"/>
      <c r="BY119"/>
      <c r="BZ119"/>
      <c r="CA119"/>
      <c r="CB119"/>
      <c r="CC119"/>
      <c r="CD119"/>
      <c r="CE119"/>
      <c r="CF119"/>
      <c r="CG119"/>
      <c r="CH119"/>
      <c r="CI119"/>
    </row>
    <row r="120" spans="1:87">
      <c r="A120"/>
      <c r="B120"/>
      <c r="C120"/>
      <c r="D120"/>
      <c r="E120" s="2" t="s">
        <v>1328</v>
      </c>
      <c r="F120"/>
      <c r="G120" s="60" t="s">
        <v>1210</v>
      </c>
      <c r="I120" s="75" t="s">
        <v>1326</v>
      </c>
      <c r="J120"/>
      <c r="K120"/>
      <c r="L120"/>
      <c r="M120" s="51" t="s">
        <v>1217</v>
      </c>
      <c r="N120" s="51" t="s">
        <v>1217</v>
      </c>
      <c r="O120" s="51" t="s">
        <v>1217</v>
      </c>
      <c r="P120" s="51" t="s">
        <v>1217</v>
      </c>
      <c r="Q120"/>
      <c r="R120" s="2" t="s">
        <v>2252</v>
      </c>
      <c r="T120"/>
      <c r="U120" s="28"/>
      <c r="V120" s="60" t="s">
        <v>1210</v>
      </c>
      <c r="W120"/>
      <c r="X120"/>
      <c r="Y120"/>
      <c r="Z120"/>
      <c r="AB120"/>
      <c r="AE120"/>
      <c r="AF120"/>
      <c r="AG120"/>
      <c r="AH120"/>
      <c r="AI120"/>
      <c r="AJ120"/>
      <c r="AK120"/>
      <c r="AL120"/>
      <c r="AM120"/>
      <c r="AN120"/>
      <c r="AO120"/>
      <c r="AP120"/>
      <c r="AQ120"/>
      <c r="AR120"/>
      <c r="AS120"/>
      <c r="AT120"/>
      <c r="AU120"/>
      <c r="AV120"/>
      <c r="AW120"/>
      <c r="AX120" s="28" t="s">
        <v>863</v>
      </c>
      <c r="AY120"/>
      <c r="AZ120"/>
      <c r="BA120"/>
      <c r="BB120"/>
      <c r="BC120"/>
      <c r="BD120"/>
      <c r="BE120"/>
      <c r="BF120"/>
      <c r="BG120"/>
      <c r="BH120"/>
      <c r="BI120"/>
      <c r="BJ120"/>
      <c r="BK120"/>
      <c r="BL120"/>
      <c r="BM120"/>
      <c r="BN120"/>
      <c r="BO120"/>
      <c r="BP120"/>
      <c r="BQ120"/>
      <c r="BR120"/>
      <c r="BU120"/>
      <c r="BV120"/>
      <c r="BW120"/>
      <c r="BX120"/>
      <c r="BY120"/>
      <c r="BZ120"/>
      <c r="CA120"/>
      <c r="CB120"/>
      <c r="CC120"/>
      <c r="CD120"/>
      <c r="CE120"/>
      <c r="CF120"/>
      <c r="CG120"/>
      <c r="CH120"/>
      <c r="CI120"/>
    </row>
    <row r="121" spans="1:87">
      <c r="A121"/>
      <c r="B121"/>
      <c r="C121"/>
      <c r="D121"/>
      <c r="E121" s="2" t="s">
        <v>1330</v>
      </c>
      <c r="F121"/>
      <c r="G121" s="60" t="s">
        <v>2014</v>
      </c>
      <c r="I121" s="75" t="s">
        <v>2247</v>
      </c>
      <c r="J121"/>
      <c r="K121"/>
      <c r="L121"/>
      <c r="M121" s="51" t="s">
        <v>1223</v>
      </c>
      <c r="N121" s="51" t="s">
        <v>1223</v>
      </c>
      <c r="O121" s="51" t="s">
        <v>1223</v>
      </c>
      <c r="P121" s="51" t="s">
        <v>1223</v>
      </c>
      <c r="Q121"/>
      <c r="R121" s="2" t="s">
        <v>2253</v>
      </c>
      <c r="T121"/>
      <c r="U121" s="28"/>
      <c r="V121" s="60" t="s">
        <v>2014</v>
      </c>
      <c r="W121"/>
      <c r="X121"/>
      <c r="Y121"/>
      <c r="Z121"/>
      <c r="AB121"/>
      <c r="AE121"/>
      <c r="AF121"/>
      <c r="AG121"/>
      <c r="AH121"/>
      <c r="AI121"/>
      <c r="AJ121"/>
      <c r="AK121"/>
      <c r="AL121"/>
      <c r="AM121"/>
      <c r="AN121"/>
      <c r="AO121"/>
      <c r="AP121"/>
      <c r="AQ121"/>
      <c r="AR121"/>
      <c r="AS121"/>
      <c r="AT121"/>
      <c r="AU121"/>
      <c r="AV121"/>
      <c r="AW121"/>
      <c r="AX121" s="28" t="s">
        <v>1776</v>
      </c>
      <c r="AY121"/>
      <c r="AZ121"/>
      <c r="BA121"/>
      <c r="BB121"/>
      <c r="BC121"/>
      <c r="BD121"/>
      <c r="BE121"/>
      <c r="BF121"/>
      <c r="BG121"/>
      <c r="BH121"/>
      <c r="BI121"/>
      <c r="BJ121"/>
      <c r="BK121"/>
      <c r="BL121"/>
      <c r="BM121"/>
      <c r="BN121"/>
      <c r="BO121"/>
      <c r="BP121"/>
      <c r="BQ121"/>
      <c r="BR121"/>
      <c r="BU121"/>
      <c r="BV121"/>
      <c r="BW121"/>
      <c r="BX121"/>
      <c r="BY121"/>
      <c r="BZ121"/>
      <c r="CA121"/>
      <c r="CB121"/>
      <c r="CC121"/>
      <c r="CD121"/>
      <c r="CE121"/>
      <c r="CF121"/>
      <c r="CG121"/>
      <c r="CH121"/>
      <c r="CI121"/>
    </row>
    <row r="122" spans="1:87">
      <c r="A122"/>
      <c r="B122"/>
      <c r="C122"/>
      <c r="D122"/>
      <c r="E122" s="2" t="s">
        <v>1332</v>
      </c>
      <c r="F122"/>
      <c r="G122" s="60" t="s">
        <v>1393</v>
      </c>
      <c r="I122" s="51" t="s">
        <v>1327</v>
      </c>
      <c r="J122"/>
      <c r="K122"/>
      <c r="L122"/>
      <c r="M122" s="51" t="s">
        <v>1228</v>
      </c>
      <c r="N122" s="51" t="s">
        <v>1228</v>
      </c>
      <c r="O122" s="51" t="s">
        <v>1228</v>
      </c>
      <c r="P122" s="51" t="s">
        <v>1228</v>
      </c>
      <c r="Q122"/>
      <c r="R122" s="2" t="s">
        <v>2254</v>
      </c>
      <c r="T122"/>
      <c r="U122" s="28"/>
      <c r="V122" s="60" t="s">
        <v>1393</v>
      </c>
      <c r="W122"/>
      <c r="X122"/>
      <c r="Y122"/>
      <c r="Z122"/>
      <c r="AB122"/>
      <c r="AE122"/>
      <c r="AF122"/>
      <c r="AG122"/>
      <c r="AH122"/>
      <c r="AI122"/>
      <c r="AJ122"/>
      <c r="AK122"/>
      <c r="AL122"/>
      <c r="AM122"/>
      <c r="AN122"/>
      <c r="AO122"/>
      <c r="AP122"/>
      <c r="AQ122"/>
      <c r="AR122"/>
      <c r="AS122"/>
      <c r="AT122"/>
      <c r="AU122"/>
      <c r="AV122"/>
      <c r="AW122"/>
      <c r="AX122" s="28" t="s">
        <v>865</v>
      </c>
      <c r="AY122"/>
      <c r="AZ122"/>
      <c r="BA122"/>
      <c r="BB122"/>
      <c r="BC122"/>
      <c r="BD122"/>
      <c r="BE122"/>
      <c r="BF122"/>
      <c r="BG122"/>
      <c r="BH122"/>
      <c r="BI122"/>
      <c r="BJ122"/>
      <c r="BK122"/>
      <c r="BL122"/>
      <c r="BM122"/>
      <c r="BN122"/>
      <c r="BO122"/>
      <c r="BP122"/>
      <c r="BQ122"/>
      <c r="BR122"/>
      <c r="BU122"/>
      <c r="BV122"/>
      <c r="BW122"/>
      <c r="BX122"/>
      <c r="BY122"/>
      <c r="BZ122"/>
      <c r="CA122"/>
      <c r="CB122"/>
      <c r="CC122"/>
      <c r="CD122"/>
      <c r="CE122"/>
      <c r="CF122"/>
      <c r="CG122"/>
      <c r="CH122"/>
      <c r="CI122"/>
    </row>
    <row r="123" spans="1:87">
      <c r="A123"/>
      <c r="B123"/>
      <c r="C123"/>
      <c r="D123"/>
      <c r="E123" s="2" t="s">
        <v>1334</v>
      </c>
      <c r="F123"/>
      <c r="G123" s="51" t="s">
        <v>2019</v>
      </c>
      <c r="I123" s="75" t="s">
        <v>2251</v>
      </c>
      <c r="J123"/>
      <c r="K123"/>
      <c r="L123"/>
      <c r="M123" s="51" t="s">
        <v>1232</v>
      </c>
      <c r="N123" s="51" t="s">
        <v>1232</v>
      </c>
      <c r="O123" s="51" t="s">
        <v>1232</v>
      </c>
      <c r="P123" s="51" t="s">
        <v>1232</v>
      </c>
      <c r="Q123"/>
      <c r="R123" s="2" t="s">
        <v>2255</v>
      </c>
      <c r="T123"/>
      <c r="U123" s="28"/>
      <c r="V123" s="51" t="s">
        <v>2019</v>
      </c>
      <c r="W123"/>
      <c r="X123"/>
      <c r="Y123"/>
      <c r="Z123"/>
      <c r="AB123"/>
      <c r="AE123"/>
      <c r="AF123"/>
      <c r="AG123"/>
      <c r="AH123"/>
      <c r="AI123"/>
      <c r="AJ123"/>
      <c r="AK123"/>
      <c r="AL123"/>
      <c r="AM123"/>
      <c r="AN123"/>
      <c r="AO123"/>
      <c r="AP123"/>
      <c r="AQ123"/>
      <c r="AR123"/>
      <c r="AS123"/>
      <c r="AT123"/>
      <c r="AU123"/>
      <c r="AV123"/>
      <c r="AW123"/>
      <c r="AX123" s="28" t="s">
        <v>459</v>
      </c>
      <c r="AY123"/>
      <c r="AZ123"/>
      <c r="BA123"/>
      <c r="BB123"/>
      <c r="BC123"/>
      <c r="BD123"/>
      <c r="BE123"/>
      <c r="BF123"/>
      <c r="BG123"/>
      <c r="BH123"/>
      <c r="BI123"/>
      <c r="BJ123"/>
      <c r="BK123"/>
      <c r="BL123"/>
      <c r="BM123"/>
      <c r="BN123"/>
      <c r="BO123"/>
      <c r="BP123"/>
      <c r="BQ123"/>
      <c r="BR123"/>
      <c r="BT123"/>
      <c r="BU123"/>
      <c r="BV123"/>
      <c r="BW123"/>
      <c r="BX123"/>
      <c r="BY123"/>
      <c r="BZ123"/>
      <c r="CA123"/>
      <c r="CB123"/>
      <c r="CC123"/>
      <c r="CD123"/>
      <c r="CE123"/>
      <c r="CF123"/>
      <c r="CG123"/>
      <c r="CH123"/>
      <c r="CI123"/>
    </row>
    <row r="124" spans="1:87">
      <c r="A124"/>
      <c r="B124"/>
      <c r="C124"/>
      <c r="D124"/>
      <c r="E124" s="2" t="s">
        <v>1336</v>
      </c>
      <c r="F124"/>
      <c r="G124" s="51" t="s">
        <v>2022</v>
      </c>
      <c r="I124" s="75" t="s">
        <v>1329</v>
      </c>
      <c r="J124"/>
      <c r="K124"/>
      <c r="L124"/>
      <c r="M124" s="51" t="s">
        <v>1237</v>
      </c>
      <c r="N124" s="51" t="s">
        <v>1237</v>
      </c>
      <c r="O124" s="51" t="s">
        <v>1237</v>
      </c>
      <c r="P124" s="51" t="s">
        <v>1237</v>
      </c>
      <c r="Q124"/>
      <c r="R124" s="2" t="s">
        <v>2257</v>
      </c>
      <c r="T124"/>
      <c r="U124" s="28"/>
      <c r="V124" s="51" t="s">
        <v>2022</v>
      </c>
      <c r="W124"/>
      <c r="X124"/>
      <c r="Y124"/>
      <c r="Z124"/>
      <c r="AB124"/>
      <c r="AE124"/>
      <c r="AF124"/>
      <c r="AG124"/>
      <c r="AH124"/>
      <c r="AI124"/>
      <c r="AJ124"/>
      <c r="AK124"/>
      <c r="AL124"/>
      <c r="AM124"/>
      <c r="AN124"/>
      <c r="AO124"/>
      <c r="AP124"/>
      <c r="AQ124"/>
      <c r="AR124"/>
      <c r="AS124"/>
      <c r="AT124"/>
      <c r="AU124"/>
      <c r="AV124"/>
      <c r="AW124"/>
      <c r="AX124" s="2" t="s">
        <v>1387</v>
      </c>
      <c r="AY124"/>
      <c r="AZ124"/>
      <c r="BA124"/>
      <c r="BB124"/>
      <c r="BC124"/>
      <c r="BD124"/>
      <c r="BE124"/>
      <c r="BF124"/>
      <c r="BG124"/>
      <c r="BH124"/>
      <c r="BI124"/>
      <c r="BJ124"/>
      <c r="BK124"/>
      <c r="BL124"/>
      <c r="BM124"/>
      <c r="BN124"/>
      <c r="BO124"/>
      <c r="BP124"/>
      <c r="BQ124"/>
      <c r="BR124"/>
      <c r="BT124"/>
      <c r="BU124"/>
      <c r="BV124"/>
      <c r="BW124"/>
      <c r="BX124"/>
      <c r="BY124"/>
      <c r="BZ124"/>
      <c r="CA124"/>
      <c r="CB124"/>
      <c r="CC124"/>
      <c r="CD124"/>
      <c r="CE124"/>
      <c r="CF124"/>
      <c r="CG124"/>
      <c r="CH124"/>
      <c r="CI124"/>
    </row>
    <row r="125" spans="1:87">
      <c r="A125"/>
      <c r="B125"/>
      <c r="C125"/>
      <c r="D125"/>
      <c r="E125" s="2" t="s">
        <v>2258</v>
      </c>
      <c r="F125"/>
      <c r="G125" s="51" t="s">
        <v>1216</v>
      </c>
      <c r="I125" s="51" t="s">
        <v>1331</v>
      </c>
      <c r="J125"/>
      <c r="K125"/>
      <c r="L125"/>
      <c r="M125" s="51" t="s">
        <v>2256</v>
      </c>
      <c r="N125" s="51" t="s">
        <v>2256</v>
      </c>
      <c r="O125" s="51" t="s">
        <v>2256</v>
      </c>
      <c r="P125" s="51" t="s">
        <v>2256</v>
      </c>
      <c r="Q125"/>
      <c r="R125" s="2" t="s">
        <v>1287</v>
      </c>
      <c r="S125"/>
      <c r="T125"/>
      <c r="U125" s="28"/>
      <c r="V125" s="51" t="s">
        <v>1216</v>
      </c>
      <c r="W125"/>
      <c r="X125"/>
      <c r="Y125"/>
      <c r="Z125"/>
      <c r="AB125"/>
      <c r="AE125"/>
      <c r="AF125"/>
      <c r="AG125"/>
      <c r="AH125"/>
      <c r="AI125"/>
      <c r="AJ125"/>
      <c r="AK125"/>
      <c r="AL125"/>
      <c r="AM125"/>
      <c r="AN125"/>
      <c r="AO125"/>
      <c r="AP125"/>
      <c r="AQ125"/>
      <c r="AR125"/>
      <c r="AS125"/>
      <c r="AT125"/>
      <c r="AU125"/>
      <c r="AV125"/>
      <c r="AW125"/>
      <c r="AX125" s="2" t="s">
        <v>2526</v>
      </c>
      <c r="AY125"/>
      <c r="AZ125"/>
      <c r="BA125"/>
      <c r="BB125"/>
      <c r="BC125"/>
      <c r="BD125"/>
      <c r="BE125"/>
      <c r="BF125"/>
      <c r="BG125"/>
      <c r="BH125"/>
      <c r="BI125"/>
      <c r="BJ125"/>
      <c r="BK125"/>
      <c r="BL125"/>
      <c r="BM125"/>
      <c r="BN125"/>
      <c r="BO125"/>
      <c r="BP125"/>
      <c r="BQ125"/>
      <c r="BR125"/>
      <c r="BT125"/>
      <c r="BU125"/>
      <c r="BV125"/>
      <c r="BW125"/>
      <c r="BX125"/>
      <c r="BY125"/>
      <c r="BZ125"/>
      <c r="CA125"/>
      <c r="CB125"/>
      <c r="CC125"/>
      <c r="CD125"/>
      <c r="CE125"/>
      <c r="CF125"/>
      <c r="CG125"/>
      <c r="CH125"/>
      <c r="CI125"/>
    </row>
    <row r="126" spans="1:87">
      <c r="A126"/>
      <c r="B126"/>
      <c r="C126"/>
      <c r="D126"/>
      <c r="E126" s="2" t="s">
        <v>2261</v>
      </c>
      <c r="F126"/>
      <c r="G126" s="80" t="s">
        <v>1712</v>
      </c>
      <c r="I126" s="88" t="s">
        <v>1333</v>
      </c>
      <c r="J126"/>
      <c r="K126"/>
      <c r="L126"/>
      <c r="M126" s="51" t="s">
        <v>2260</v>
      </c>
      <c r="N126" s="51" t="s">
        <v>2260</v>
      </c>
      <c r="O126" s="51" t="s">
        <v>2260</v>
      </c>
      <c r="P126" s="51" t="s">
        <v>2260</v>
      </c>
      <c r="Q126"/>
      <c r="R126" s="2" t="s">
        <v>1290</v>
      </c>
      <c r="S126"/>
      <c r="T126"/>
      <c r="V126" s="80" t="s">
        <v>1712</v>
      </c>
      <c r="W126"/>
      <c r="X126"/>
      <c r="Y126"/>
      <c r="Z126"/>
      <c r="AB126"/>
      <c r="AC126"/>
      <c r="AD126"/>
      <c r="AE126"/>
      <c r="AF126"/>
      <c r="AG126"/>
      <c r="AH126"/>
      <c r="AI126"/>
      <c r="AJ126"/>
      <c r="AK126"/>
      <c r="AL126"/>
      <c r="AM126"/>
      <c r="AN126"/>
      <c r="AO126"/>
      <c r="AP126"/>
      <c r="AQ126"/>
      <c r="AR126"/>
      <c r="AS126"/>
      <c r="AT126"/>
      <c r="AU126"/>
      <c r="AV126"/>
      <c r="AW126"/>
      <c r="AX126" s="28" t="s">
        <v>478</v>
      </c>
      <c r="AY126"/>
      <c r="AZ126"/>
      <c r="BA126"/>
      <c r="BB126"/>
      <c r="BC126"/>
      <c r="BD126"/>
      <c r="BE126"/>
      <c r="BF126"/>
      <c r="BG126"/>
      <c r="BH126"/>
      <c r="BI126"/>
      <c r="BJ126"/>
      <c r="BK126"/>
      <c r="BL126"/>
      <c r="BM126"/>
      <c r="BN126"/>
      <c r="BO126"/>
      <c r="BP126"/>
      <c r="BQ126"/>
      <c r="BR126"/>
      <c r="BT126"/>
      <c r="BU126"/>
      <c r="BV126"/>
      <c r="BW126"/>
      <c r="BX126"/>
      <c r="BY126"/>
      <c r="BZ126"/>
      <c r="CA126"/>
      <c r="CB126"/>
      <c r="CC126"/>
      <c r="CD126"/>
      <c r="CE126"/>
      <c r="CF126"/>
      <c r="CG126"/>
      <c r="CH126"/>
      <c r="CI126"/>
    </row>
    <row r="127" spans="1:87">
      <c r="A127"/>
      <c r="B127"/>
      <c r="C127"/>
      <c r="D127"/>
      <c r="E127" s="2" t="s">
        <v>1338</v>
      </c>
      <c r="F127"/>
      <c r="G127" s="51" t="s">
        <v>2043</v>
      </c>
      <c r="I127" s="88" t="s">
        <v>1396</v>
      </c>
      <c r="J127"/>
      <c r="K127"/>
      <c r="L127"/>
      <c r="M127" s="51" t="s">
        <v>2262</v>
      </c>
      <c r="N127" s="51" t="s">
        <v>2262</v>
      </c>
      <c r="O127" s="51" t="s">
        <v>2262</v>
      </c>
      <c r="P127" s="51" t="s">
        <v>2262</v>
      </c>
      <c r="Q127"/>
      <c r="R127" s="49" t="s">
        <v>570</v>
      </c>
      <c r="S127"/>
      <c r="T127"/>
      <c r="V127" s="51" t="s">
        <v>2043</v>
      </c>
      <c r="W127"/>
      <c r="X127"/>
      <c r="Y127"/>
      <c r="Z127"/>
      <c r="AB127"/>
      <c r="AC127"/>
      <c r="AD127"/>
      <c r="AE127"/>
      <c r="AF127"/>
      <c r="AG127"/>
      <c r="AH127"/>
      <c r="AI127"/>
      <c r="AJ127"/>
      <c r="AK127"/>
      <c r="AL127"/>
      <c r="AM127"/>
      <c r="AN127"/>
      <c r="AO127"/>
      <c r="AP127"/>
      <c r="AQ127"/>
      <c r="AR127"/>
      <c r="AS127"/>
      <c r="AT127"/>
      <c r="AU127"/>
      <c r="AV127"/>
      <c r="AW127"/>
      <c r="AX127" s="28" t="s">
        <v>869</v>
      </c>
      <c r="AY127"/>
      <c r="AZ127"/>
      <c r="BA127"/>
      <c r="BB127"/>
      <c r="BC127"/>
      <c r="BD127"/>
      <c r="BE127"/>
      <c r="BF127"/>
      <c r="BG127"/>
      <c r="BH127"/>
      <c r="BI127"/>
      <c r="BJ127"/>
      <c r="BK127"/>
      <c r="BL127"/>
      <c r="BM127"/>
      <c r="BN127"/>
      <c r="BO127"/>
      <c r="BP127"/>
      <c r="BQ127"/>
      <c r="BR127"/>
      <c r="BT127"/>
      <c r="BU127"/>
      <c r="BV127"/>
      <c r="BW127"/>
      <c r="BX127"/>
      <c r="BY127"/>
      <c r="BZ127"/>
      <c r="CA127"/>
      <c r="CB127"/>
      <c r="CC127"/>
      <c r="CD127"/>
      <c r="CE127"/>
      <c r="CF127"/>
      <c r="CG127"/>
      <c r="CH127"/>
      <c r="CI127"/>
    </row>
    <row r="128" spans="1:87">
      <c r="A128"/>
      <c r="B128"/>
      <c r="C128"/>
      <c r="D128"/>
      <c r="E128" s="39" t="s">
        <v>2264</v>
      </c>
      <c r="F128"/>
      <c r="G128" s="51" t="s">
        <v>1394</v>
      </c>
      <c r="I128" s="88" t="s">
        <v>2259</v>
      </c>
      <c r="J128"/>
      <c r="K128"/>
      <c r="L128"/>
      <c r="M128" s="51" t="s">
        <v>1242</v>
      </c>
      <c r="N128" s="51" t="s">
        <v>1242</v>
      </c>
      <c r="O128" s="51" t="s">
        <v>1242</v>
      </c>
      <c r="P128" s="51" t="s">
        <v>1242</v>
      </c>
      <c r="Q128"/>
      <c r="R128" s="49" t="s">
        <v>573</v>
      </c>
      <c r="S128"/>
      <c r="T128"/>
      <c r="V128" s="51" t="s">
        <v>1394</v>
      </c>
      <c r="W128"/>
      <c r="X128"/>
      <c r="Y128"/>
      <c r="Z128"/>
      <c r="AB128"/>
      <c r="AC128"/>
      <c r="AD128"/>
      <c r="AE128"/>
      <c r="AF128"/>
      <c r="AG128"/>
      <c r="AH128"/>
      <c r="AI128"/>
      <c r="AJ128"/>
      <c r="AK128"/>
      <c r="AL128"/>
      <c r="AM128"/>
      <c r="AN128"/>
      <c r="AO128"/>
      <c r="AP128"/>
      <c r="AQ128"/>
      <c r="AR128"/>
      <c r="AS128"/>
      <c r="AT128"/>
      <c r="AU128"/>
      <c r="AV128"/>
      <c r="AW128"/>
      <c r="AX128" s="28" t="s">
        <v>630</v>
      </c>
      <c r="AY128"/>
      <c r="AZ128"/>
      <c r="BA128"/>
      <c r="BB128"/>
      <c r="BC128"/>
      <c r="BD128"/>
      <c r="BE128"/>
      <c r="BF128"/>
      <c r="BG128"/>
      <c r="BH128"/>
      <c r="BI128"/>
      <c r="BJ128"/>
      <c r="BK128"/>
      <c r="BL128"/>
      <c r="BM128"/>
      <c r="BN128"/>
      <c r="BO128"/>
      <c r="BP128"/>
      <c r="BQ128"/>
      <c r="BR128"/>
      <c r="BT128"/>
      <c r="BU128"/>
      <c r="BV128"/>
      <c r="BW128"/>
      <c r="BX128"/>
      <c r="BY128"/>
      <c r="BZ128"/>
      <c r="CA128"/>
      <c r="CB128"/>
      <c r="CC128"/>
      <c r="CD128"/>
      <c r="CE128"/>
      <c r="CF128"/>
      <c r="CG128"/>
      <c r="CH128"/>
      <c r="CI128"/>
    </row>
    <row r="129" spans="1:87">
      <c r="A129"/>
      <c r="B129"/>
      <c r="C129"/>
      <c r="D129"/>
      <c r="E129" s="2" t="s">
        <v>2266</v>
      </c>
      <c r="F129"/>
      <c r="G129" s="51" t="s">
        <v>2055</v>
      </c>
      <c r="I129" s="88" t="s">
        <v>1398</v>
      </c>
      <c r="J129"/>
      <c r="K129"/>
      <c r="L129"/>
      <c r="M129" s="51" t="s">
        <v>1247</v>
      </c>
      <c r="N129" s="51" t="s">
        <v>1247</v>
      </c>
      <c r="O129" s="51" t="s">
        <v>1247</v>
      </c>
      <c r="P129" s="51" t="s">
        <v>1247</v>
      </c>
      <c r="Q129"/>
      <c r="R129" s="49" t="s">
        <v>556</v>
      </c>
      <c r="S129"/>
      <c r="T129"/>
      <c r="V129" s="51" t="s">
        <v>2055</v>
      </c>
      <c r="W129"/>
      <c r="X129"/>
      <c r="Y129"/>
      <c r="Z129"/>
      <c r="AB129"/>
      <c r="AC129"/>
      <c r="AD129"/>
      <c r="AE129"/>
      <c r="AF129"/>
      <c r="AG129"/>
      <c r="AH129"/>
      <c r="AI129"/>
      <c r="AJ129"/>
      <c r="AK129"/>
      <c r="AL129"/>
      <c r="AM129"/>
      <c r="AN129"/>
      <c r="AO129"/>
      <c r="AP129"/>
      <c r="AQ129"/>
      <c r="AR129"/>
      <c r="AS129"/>
      <c r="AT129"/>
      <c r="AU129"/>
      <c r="AV129"/>
      <c r="AW129"/>
      <c r="AX129" s="28" t="s">
        <v>872</v>
      </c>
      <c r="AY129"/>
      <c r="AZ129"/>
      <c r="BA129"/>
      <c r="BB129"/>
      <c r="BC129"/>
      <c r="BD129"/>
      <c r="BE129"/>
      <c r="BF129"/>
      <c r="BG129"/>
      <c r="BH129"/>
      <c r="BI129"/>
      <c r="BJ129"/>
      <c r="BK129"/>
      <c r="BL129"/>
      <c r="BM129"/>
      <c r="BN129"/>
      <c r="BO129"/>
      <c r="BP129"/>
      <c r="BQ129"/>
      <c r="BR129"/>
      <c r="BT129"/>
      <c r="BU129"/>
      <c r="BV129"/>
      <c r="BW129"/>
      <c r="BX129"/>
      <c r="BY129"/>
      <c r="BZ129"/>
      <c r="CA129"/>
      <c r="CB129"/>
      <c r="CC129"/>
      <c r="CD129"/>
      <c r="CE129"/>
      <c r="CF129"/>
      <c r="CG129"/>
      <c r="CH129"/>
      <c r="CI129"/>
    </row>
    <row r="130" spans="1:87">
      <c r="A130"/>
      <c r="B130"/>
      <c r="C130"/>
      <c r="D130"/>
      <c r="E130" s="2" t="s">
        <v>1341</v>
      </c>
      <c r="F130"/>
      <c r="G130" s="51" t="s">
        <v>2060</v>
      </c>
      <c r="I130" s="88" t="s">
        <v>2263</v>
      </c>
      <c r="J130"/>
      <c r="K130"/>
      <c r="L130"/>
      <c r="M130" s="51" t="s">
        <v>1252</v>
      </c>
      <c r="N130" s="51" t="s">
        <v>1252</v>
      </c>
      <c r="O130" s="51" t="s">
        <v>1252</v>
      </c>
      <c r="P130" s="51" t="s">
        <v>1252</v>
      </c>
      <c r="Q130"/>
      <c r="R130" s="49" t="s">
        <v>558</v>
      </c>
      <c r="S130"/>
      <c r="T130"/>
      <c r="V130" s="51" t="s">
        <v>2060</v>
      </c>
      <c r="W130"/>
      <c r="X130"/>
      <c r="Y130"/>
      <c r="Z130"/>
      <c r="AB130"/>
      <c r="AC130"/>
      <c r="AD130"/>
      <c r="AE130"/>
      <c r="AF130"/>
      <c r="AG130"/>
      <c r="AH130"/>
      <c r="AI130"/>
      <c r="AJ130"/>
      <c r="AK130"/>
      <c r="AL130"/>
      <c r="AM130"/>
      <c r="AN130"/>
      <c r="AO130"/>
      <c r="AP130"/>
      <c r="AQ130"/>
      <c r="AR130"/>
      <c r="AS130"/>
      <c r="AT130"/>
      <c r="AU130"/>
      <c r="AV130"/>
      <c r="AW130"/>
      <c r="AX130" s="28" t="s">
        <v>874</v>
      </c>
      <c r="AY130"/>
      <c r="AZ130"/>
      <c r="BA130"/>
      <c r="BB130"/>
      <c r="BC130"/>
      <c r="BD130"/>
      <c r="BE130"/>
      <c r="BF130"/>
      <c r="BG130"/>
      <c r="BH130"/>
      <c r="BI130"/>
      <c r="BJ130"/>
      <c r="BK130"/>
      <c r="BL130"/>
      <c r="BM130"/>
      <c r="BN130"/>
      <c r="BO130"/>
      <c r="BP130"/>
      <c r="BQ130"/>
      <c r="BR130"/>
      <c r="BT130"/>
      <c r="BU130"/>
      <c r="BV130"/>
      <c r="BW130"/>
      <c r="BX130"/>
      <c r="BY130"/>
      <c r="BZ130"/>
      <c r="CA130"/>
      <c r="CB130"/>
      <c r="CC130"/>
      <c r="CD130"/>
      <c r="CE130"/>
      <c r="CF130"/>
      <c r="CG130"/>
      <c r="CH130"/>
      <c r="CI130"/>
    </row>
    <row r="131" spans="1:87">
      <c r="A131"/>
      <c r="B131"/>
      <c r="C131"/>
      <c r="D131"/>
      <c r="E131" s="2" t="s">
        <v>1787</v>
      </c>
      <c r="F131"/>
      <c r="G131" s="51" t="s">
        <v>2065</v>
      </c>
      <c r="I131" s="88" t="s">
        <v>2265</v>
      </c>
      <c r="J131"/>
      <c r="K131"/>
      <c r="L131"/>
      <c r="M131" s="51" t="s">
        <v>1257</v>
      </c>
      <c r="N131" s="51" t="s">
        <v>1257</v>
      </c>
      <c r="O131" s="51" t="s">
        <v>1257</v>
      </c>
      <c r="P131" s="51" t="s">
        <v>1257</v>
      </c>
      <c r="Q131"/>
      <c r="R131" s="49" t="s">
        <v>561</v>
      </c>
      <c r="S131"/>
      <c r="T131"/>
      <c r="V131" s="51" t="s">
        <v>2065</v>
      </c>
      <c r="W131"/>
      <c r="X131"/>
      <c r="Y131"/>
      <c r="Z131"/>
      <c r="AB131"/>
      <c r="AC131"/>
      <c r="AD131"/>
      <c r="AE131"/>
      <c r="AF131"/>
      <c r="AG131"/>
      <c r="AH131"/>
      <c r="AI131"/>
      <c r="AJ131"/>
      <c r="AK131"/>
      <c r="AL131"/>
      <c r="AM131"/>
      <c r="AN131"/>
      <c r="AO131"/>
      <c r="AP131"/>
      <c r="AQ131"/>
      <c r="AR131"/>
      <c r="AS131"/>
      <c r="AT131"/>
      <c r="AU131"/>
      <c r="AV131"/>
      <c r="AW131"/>
      <c r="AX131" s="28" t="s">
        <v>876</v>
      </c>
      <c r="AY131"/>
      <c r="AZ131"/>
      <c r="BA131"/>
      <c r="BB131"/>
      <c r="BC131"/>
      <c r="BD131"/>
      <c r="BE131"/>
      <c r="BF131"/>
      <c r="BG131"/>
      <c r="BH131"/>
      <c r="BI131"/>
      <c r="BJ131"/>
      <c r="BK131"/>
      <c r="BL131"/>
      <c r="BM131"/>
      <c r="BN131"/>
      <c r="BO131"/>
      <c r="BP131"/>
      <c r="BQ131"/>
      <c r="BR131"/>
      <c r="BT131"/>
      <c r="BU131"/>
      <c r="BV131"/>
      <c r="BW131"/>
      <c r="BX131"/>
      <c r="BY131"/>
      <c r="BZ131"/>
      <c r="CA131"/>
      <c r="CB131"/>
      <c r="CC131"/>
      <c r="CD131"/>
      <c r="CE131"/>
      <c r="CF131"/>
      <c r="CG131"/>
      <c r="CH131"/>
      <c r="CI131"/>
    </row>
    <row r="132" spans="1:87">
      <c r="A132"/>
      <c r="B132"/>
      <c r="C132"/>
      <c r="D132"/>
      <c r="E132" s="39" t="s">
        <v>2269</v>
      </c>
      <c r="F132"/>
      <c r="G132" s="51" t="s">
        <v>2070</v>
      </c>
      <c r="I132" s="88" t="s">
        <v>1397</v>
      </c>
      <c r="J132"/>
      <c r="K132"/>
      <c r="L132"/>
      <c r="M132" s="51" t="s">
        <v>1263</v>
      </c>
      <c r="N132" s="51" t="s">
        <v>1263</v>
      </c>
      <c r="O132" s="51" t="s">
        <v>1263</v>
      </c>
      <c r="P132" s="51" t="s">
        <v>1263</v>
      </c>
      <c r="Q132"/>
      <c r="R132" s="41" t="s">
        <v>394</v>
      </c>
      <c r="S132"/>
      <c r="T132"/>
      <c r="V132" s="51" t="s">
        <v>2070</v>
      </c>
      <c r="W132"/>
      <c r="X132"/>
      <c r="Y132"/>
      <c r="Z132"/>
      <c r="AB132"/>
      <c r="AC132"/>
      <c r="AD132"/>
      <c r="AE132"/>
      <c r="AF132"/>
      <c r="AG132"/>
      <c r="AH132"/>
      <c r="AI132"/>
      <c r="AJ132"/>
      <c r="AK132"/>
      <c r="AL132"/>
      <c r="AM132"/>
      <c r="AN132"/>
      <c r="AO132"/>
      <c r="AP132"/>
      <c r="AQ132"/>
      <c r="AR132"/>
      <c r="AS132"/>
      <c r="AT132"/>
      <c r="AU132"/>
      <c r="AV132"/>
      <c r="AW132"/>
      <c r="AX132" s="28" t="s">
        <v>631</v>
      </c>
      <c r="AY132"/>
      <c r="AZ132"/>
      <c r="BA132"/>
      <c r="BB132"/>
      <c r="BC132"/>
      <c r="BD132"/>
      <c r="BE132"/>
      <c r="BF132"/>
      <c r="BG132"/>
      <c r="BH132"/>
      <c r="BI132"/>
      <c r="BJ132"/>
      <c r="BK132"/>
      <c r="BL132"/>
      <c r="BM132"/>
      <c r="BN132"/>
      <c r="BO132"/>
      <c r="BP132"/>
      <c r="BQ132"/>
      <c r="BR132"/>
      <c r="BT132"/>
      <c r="BU132"/>
      <c r="BV132"/>
      <c r="BW132"/>
      <c r="BX132"/>
      <c r="BY132"/>
      <c r="BZ132"/>
      <c r="CA132"/>
      <c r="CB132"/>
      <c r="CC132"/>
      <c r="CD132"/>
      <c r="CE132"/>
      <c r="CF132"/>
      <c r="CG132"/>
      <c r="CH132"/>
      <c r="CI132"/>
    </row>
    <row r="133" spans="1:87">
      <c r="A133"/>
      <c r="B133"/>
      <c r="C133"/>
      <c r="D133"/>
      <c r="E133" s="39" t="s">
        <v>2271</v>
      </c>
      <c r="F133"/>
      <c r="G133" s="81" t="s">
        <v>1732</v>
      </c>
      <c r="I133" s="88" t="s">
        <v>2267</v>
      </c>
      <c r="J133"/>
      <c r="K133"/>
      <c r="L133"/>
      <c r="M133" s="51" t="s">
        <v>2548</v>
      </c>
      <c r="N133" s="51" t="s">
        <v>2548</v>
      </c>
      <c r="O133" s="51" t="s">
        <v>2548</v>
      </c>
      <c r="P133" s="51" t="s">
        <v>2548</v>
      </c>
      <c r="Q133"/>
      <c r="R133" s="41" t="s">
        <v>1202</v>
      </c>
      <c r="S133"/>
      <c r="T133"/>
      <c r="V133" s="81" t="s">
        <v>1732</v>
      </c>
      <c r="W133"/>
      <c r="X133"/>
      <c r="Y133"/>
      <c r="Z133"/>
      <c r="AB133"/>
      <c r="AC133"/>
      <c r="AD133"/>
      <c r="AE133"/>
      <c r="AF133"/>
      <c r="AG133"/>
      <c r="AH133"/>
      <c r="AI133"/>
      <c r="AJ133"/>
      <c r="AK133"/>
      <c r="AL133"/>
      <c r="AM133"/>
      <c r="AN133"/>
      <c r="AO133"/>
      <c r="AP133"/>
      <c r="AQ133"/>
      <c r="AR133"/>
      <c r="AS133"/>
      <c r="AT133"/>
      <c r="AU133"/>
      <c r="AV133"/>
      <c r="AW133"/>
      <c r="AY133"/>
      <c r="AZ133"/>
      <c r="BA133"/>
      <c r="BB133"/>
      <c r="BC133"/>
      <c r="BD133"/>
      <c r="BE133"/>
      <c r="BF133"/>
      <c r="BG133"/>
      <c r="BH133"/>
      <c r="BI133"/>
      <c r="BJ133"/>
      <c r="BK133"/>
      <c r="BL133"/>
      <c r="BM133"/>
      <c r="BN133"/>
      <c r="BO133"/>
      <c r="BP133"/>
      <c r="BQ133"/>
      <c r="BR133"/>
      <c r="BT133"/>
      <c r="BU133"/>
      <c r="BV133"/>
      <c r="BW133"/>
      <c r="BX133"/>
      <c r="BY133"/>
      <c r="BZ133"/>
      <c r="CA133"/>
      <c r="CB133"/>
      <c r="CC133"/>
      <c r="CD133"/>
      <c r="CE133"/>
      <c r="CF133"/>
      <c r="CG133"/>
      <c r="CH133"/>
      <c r="CI133"/>
    </row>
    <row r="134" spans="1:87">
      <c r="A134"/>
      <c r="B134"/>
      <c r="C134"/>
      <c r="D134"/>
      <c r="E134" s="2" t="s">
        <v>1343</v>
      </c>
      <c r="F134"/>
      <c r="G134" s="81" t="s">
        <v>1736</v>
      </c>
      <c r="I134" s="75" t="s">
        <v>2268</v>
      </c>
      <c r="J134"/>
      <c r="K134"/>
      <c r="L134"/>
      <c r="M134" s="51" t="s">
        <v>2270</v>
      </c>
      <c r="N134" s="51" t="s">
        <v>2270</v>
      </c>
      <c r="O134" s="51" t="s">
        <v>2270</v>
      </c>
      <c r="P134" s="51" t="s">
        <v>2270</v>
      </c>
      <c r="Q134"/>
      <c r="R134" s="49" t="s">
        <v>1206</v>
      </c>
      <c r="S134"/>
      <c r="T134"/>
      <c r="V134" s="81" t="s">
        <v>1736</v>
      </c>
      <c r="W134"/>
      <c r="X134"/>
      <c r="Y134"/>
      <c r="Z134"/>
      <c r="AB134"/>
      <c r="AC134"/>
      <c r="AD134"/>
      <c r="AE134"/>
      <c r="AF134"/>
      <c r="AG134"/>
      <c r="AH134"/>
      <c r="AI134"/>
      <c r="AJ134"/>
      <c r="AK134"/>
      <c r="AL134"/>
      <c r="AM134"/>
      <c r="AN134"/>
      <c r="AO134"/>
      <c r="AP134"/>
      <c r="AQ134"/>
      <c r="AR134"/>
      <c r="AS134"/>
      <c r="AT134"/>
      <c r="AU134"/>
      <c r="AV134"/>
      <c r="AW134"/>
      <c r="AY134"/>
      <c r="AZ134"/>
      <c r="BA134"/>
      <c r="BB134"/>
      <c r="BC134"/>
      <c r="BD134"/>
      <c r="BE134"/>
      <c r="BF134"/>
      <c r="BG134"/>
      <c r="BH134"/>
      <c r="BI134"/>
      <c r="BJ134"/>
      <c r="BK134"/>
      <c r="BL134"/>
      <c r="BM134"/>
      <c r="BN134"/>
      <c r="BO134"/>
      <c r="BP134"/>
      <c r="BQ134"/>
      <c r="BR134"/>
      <c r="BT134"/>
      <c r="BU134"/>
      <c r="BV134"/>
      <c r="BW134"/>
      <c r="BX134"/>
      <c r="BY134"/>
      <c r="BZ134"/>
      <c r="CA134"/>
      <c r="CB134"/>
      <c r="CC134"/>
      <c r="CD134"/>
      <c r="CE134"/>
      <c r="CF134"/>
      <c r="CG134"/>
      <c r="CH134"/>
      <c r="CI134"/>
    </row>
    <row r="135" spans="1:87">
      <c r="A135"/>
      <c r="B135"/>
      <c r="C135"/>
      <c r="D135"/>
      <c r="E135" s="2" t="s">
        <v>2275</v>
      </c>
      <c r="F135"/>
      <c r="G135" s="51" t="s">
        <v>2131</v>
      </c>
      <c r="I135" s="51" t="s">
        <v>1335</v>
      </c>
      <c r="J135"/>
      <c r="K135"/>
      <c r="L135"/>
      <c r="M135" s="51" t="s">
        <v>2270</v>
      </c>
      <c r="N135" s="51" t="s">
        <v>2270</v>
      </c>
      <c r="O135" s="51" t="s">
        <v>2270</v>
      </c>
      <c r="P135" s="51" t="s">
        <v>2270</v>
      </c>
      <c r="Q135"/>
      <c r="R135" s="49" t="s">
        <v>1212</v>
      </c>
      <c r="S135"/>
      <c r="T135"/>
      <c r="V135" s="51" t="s">
        <v>2131</v>
      </c>
      <c r="W135"/>
      <c r="X135"/>
      <c r="Y135"/>
      <c r="Z135"/>
      <c r="AB135"/>
      <c r="AC135"/>
      <c r="AD135"/>
      <c r="AE135"/>
      <c r="AF135"/>
      <c r="AG135"/>
      <c r="AH135"/>
      <c r="AI135"/>
      <c r="AJ135"/>
      <c r="AK135"/>
      <c r="AL135"/>
      <c r="AM135"/>
      <c r="AN135"/>
      <c r="AO135"/>
      <c r="AP135"/>
      <c r="AQ135"/>
      <c r="AR135"/>
      <c r="AS135"/>
      <c r="AT135"/>
      <c r="AU135"/>
      <c r="AV135"/>
      <c r="AW135"/>
      <c r="AY135"/>
      <c r="AZ135"/>
      <c r="BA135"/>
      <c r="BB135"/>
      <c r="BC135"/>
      <c r="BD135"/>
      <c r="BE135"/>
      <c r="BF135"/>
      <c r="BG135"/>
      <c r="BH135"/>
      <c r="BI135"/>
      <c r="BJ135"/>
      <c r="BK135"/>
      <c r="BL135"/>
      <c r="BM135"/>
      <c r="BN135"/>
      <c r="BO135"/>
      <c r="BP135"/>
      <c r="BQ135"/>
      <c r="BR135"/>
      <c r="BT135"/>
      <c r="BU135"/>
      <c r="BV135"/>
      <c r="BW135"/>
      <c r="BX135"/>
      <c r="BY135"/>
      <c r="BZ135"/>
      <c r="CA135"/>
      <c r="CB135"/>
      <c r="CC135"/>
      <c r="CD135"/>
      <c r="CE135"/>
      <c r="CF135"/>
      <c r="CG135"/>
      <c r="CH135"/>
      <c r="CI135"/>
    </row>
    <row r="136" spans="1:87">
      <c r="A136"/>
      <c r="B136"/>
      <c r="C136"/>
      <c r="D136"/>
      <c r="E136" s="2" t="s">
        <v>1345</v>
      </c>
      <c r="F136"/>
      <c r="G136" s="51" t="s">
        <v>2134</v>
      </c>
      <c r="I136" s="51" t="s">
        <v>2272</v>
      </c>
      <c r="J136"/>
      <c r="K136"/>
      <c r="L136"/>
      <c r="M136" s="51" t="s">
        <v>2274</v>
      </c>
      <c r="N136" s="51" t="s">
        <v>2274</v>
      </c>
      <c r="O136" s="51" t="s">
        <v>2274</v>
      </c>
      <c r="P136" s="51" t="s">
        <v>2274</v>
      </c>
      <c r="Q136"/>
      <c r="R136" s="49" t="s">
        <v>1218</v>
      </c>
      <c r="S136"/>
      <c r="T136"/>
      <c r="V136" s="51" t="s">
        <v>2134</v>
      </c>
      <c r="W136"/>
      <c r="X136"/>
      <c r="Y136"/>
      <c r="Z136"/>
      <c r="AB136"/>
      <c r="AC136"/>
      <c r="AD136"/>
      <c r="AE136"/>
      <c r="AF136"/>
      <c r="AG136"/>
      <c r="AH136"/>
      <c r="AI136"/>
      <c r="AJ136"/>
      <c r="AK136"/>
      <c r="AL136"/>
      <c r="AM136"/>
      <c r="AN136"/>
      <c r="AO136"/>
      <c r="AP136"/>
      <c r="AQ136"/>
      <c r="AR136"/>
      <c r="AS136"/>
      <c r="AT136"/>
      <c r="AU136"/>
      <c r="AV136"/>
      <c r="AW136"/>
      <c r="AY136"/>
      <c r="AZ136"/>
      <c r="BA136"/>
      <c r="BB136"/>
      <c r="BC136"/>
      <c r="BD136"/>
      <c r="BE136"/>
      <c r="BF136"/>
      <c r="BG136"/>
      <c r="BH136"/>
      <c r="BI136"/>
      <c r="BJ136"/>
      <c r="BK136"/>
      <c r="BL136"/>
      <c r="BM136"/>
      <c r="BN136"/>
      <c r="BO136"/>
      <c r="BP136"/>
      <c r="BQ136"/>
      <c r="BR136"/>
      <c r="BT136"/>
      <c r="BU136"/>
      <c r="BV136"/>
      <c r="BW136"/>
      <c r="BX136"/>
      <c r="BY136"/>
      <c r="BZ136"/>
      <c r="CA136"/>
      <c r="CB136"/>
      <c r="CC136"/>
      <c r="CD136"/>
      <c r="CE136"/>
      <c r="CF136"/>
      <c r="CG136"/>
      <c r="CH136"/>
      <c r="CI136"/>
    </row>
    <row r="137" spans="1:87">
      <c r="A137"/>
      <c r="B137"/>
      <c r="C137"/>
      <c r="D137"/>
      <c r="E137" s="2" t="s">
        <v>1347</v>
      </c>
      <c r="F137"/>
      <c r="G137" s="51" t="s">
        <v>2137</v>
      </c>
      <c r="I137" s="51" t="s">
        <v>2273</v>
      </c>
      <c r="J137"/>
      <c r="K137"/>
      <c r="L137"/>
      <c r="M137" s="51" t="s">
        <v>2277</v>
      </c>
      <c r="N137" s="51" t="s">
        <v>2277</v>
      </c>
      <c r="O137" s="51" t="s">
        <v>2277</v>
      </c>
      <c r="P137" s="51" t="s">
        <v>2277</v>
      </c>
      <c r="Q137"/>
      <c r="R137" s="49" t="s">
        <v>1224</v>
      </c>
      <c r="S137"/>
      <c r="T137"/>
      <c r="V137" s="51" t="s">
        <v>2137</v>
      </c>
      <c r="W137"/>
      <c r="X137"/>
      <c r="Y137"/>
      <c r="Z137"/>
      <c r="AB137"/>
      <c r="AC137"/>
      <c r="AD137"/>
      <c r="AE137"/>
      <c r="AF137"/>
      <c r="AG137"/>
      <c r="AH137"/>
      <c r="AI137"/>
      <c r="AJ137"/>
      <c r="AK137"/>
      <c r="AL137"/>
      <c r="AM137"/>
      <c r="AN137"/>
      <c r="AO137"/>
      <c r="AP137"/>
      <c r="AQ137"/>
      <c r="AR137"/>
      <c r="AS137"/>
      <c r="AT137"/>
      <c r="AU137"/>
      <c r="AV137"/>
      <c r="AW137"/>
      <c r="AY137"/>
      <c r="AZ137"/>
      <c r="BA137"/>
      <c r="BB137"/>
      <c r="BC137"/>
      <c r="BD137"/>
      <c r="BE137"/>
      <c r="BF137"/>
      <c r="BG137"/>
      <c r="BH137"/>
      <c r="BI137"/>
      <c r="BJ137"/>
      <c r="BK137"/>
      <c r="BL137"/>
      <c r="BM137"/>
      <c r="BN137"/>
      <c r="BO137"/>
      <c r="BP137"/>
      <c r="BQ137"/>
      <c r="BR137"/>
      <c r="BT137"/>
      <c r="BU137"/>
      <c r="BV137"/>
      <c r="BW137"/>
      <c r="BX137"/>
      <c r="BY137"/>
      <c r="BZ137"/>
      <c r="CA137"/>
      <c r="CB137"/>
      <c r="CC137"/>
      <c r="CD137"/>
      <c r="CE137"/>
      <c r="CF137"/>
      <c r="CG137"/>
      <c r="CH137"/>
      <c r="CI137"/>
    </row>
    <row r="138" spans="1:87">
      <c r="A138"/>
      <c r="B138"/>
      <c r="C138"/>
      <c r="D138"/>
      <c r="E138" s="39" t="s">
        <v>2282</v>
      </c>
      <c r="F138"/>
      <c r="G138" s="51" t="s">
        <v>2140</v>
      </c>
      <c r="H138"/>
      <c r="I138" s="51" t="s">
        <v>2276</v>
      </c>
      <c r="J138"/>
      <c r="K138"/>
      <c r="L138"/>
      <c r="M138" s="51" t="s">
        <v>2279</v>
      </c>
      <c r="N138" s="51" t="s">
        <v>2279</v>
      </c>
      <c r="O138" s="51" t="s">
        <v>2279</v>
      </c>
      <c r="P138" s="51" t="s">
        <v>2279</v>
      </c>
      <c r="Q138"/>
      <c r="R138" s="41" t="s">
        <v>404</v>
      </c>
      <c r="S138"/>
      <c r="T138"/>
      <c r="V138" s="51" t="s">
        <v>2140</v>
      </c>
      <c r="W138"/>
      <c r="X138"/>
      <c r="Y138"/>
      <c r="Z138"/>
      <c r="AB138"/>
      <c r="AC138"/>
      <c r="AD138"/>
      <c r="AE138"/>
      <c r="AF138"/>
      <c r="AG138"/>
      <c r="AH138"/>
      <c r="AI138"/>
      <c r="AJ138"/>
      <c r="AK138"/>
      <c r="AL138"/>
      <c r="AM138"/>
      <c r="AN138"/>
      <c r="AO138"/>
      <c r="AP138"/>
      <c r="AQ138"/>
      <c r="AR138"/>
      <c r="AS138"/>
      <c r="AT138"/>
      <c r="AU138"/>
      <c r="AV138"/>
      <c r="AW138"/>
      <c r="AY138"/>
      <c r="AZ138"/>
      <c r="BA138"/>
      <c r="BB138"/>
      <c r="BC138"/>
      <c r="BD138"/>
      <c r="BE138"/>
      <c r="BF138"/>
      <c r="BG138"/>
      <c r="BH138"/>
      <c r="BI138"/>
      <c r="BJ138"/>
      <c r="BK138"/>
      <c r="BL138"/>
      <c r="BM138"/>
      <c r="BN138"/>
      <c r="BO138"/>
      <c r="BP138"/>
      <c r="BQ138"/>
      <c r="BR138"/>
      <c r="BT138"/>
      <c r="BU138"/>
      <c r="BV138"/>
      <c r="BW138"/>
      <c r="BX138"/>
      <c r="BY138"/>
      <c r="BZ138"/>
      <c r="CA138"/>
      <c r="CB138"/>
      <c r="CC138"/>
      <c r="CD138"/>
      <c r="CE138"/>
      <c r="CF138"/>
      <c r="CG138"/>
      <c r="CH138"/>
      <c r="CI138"/>
    </row>
    <row r="139" spans="1:87">
      <c r="A139"/>
      <c r="B139"/>
      <c r="C139"/>
      <c r="D139"/>
      <c r="E139" s="39" t="s">
        <v>2284</v>
      </c>
      <c r="F139"/>
      <c r="G139" s="51" t="s">
        <v>2143</v>
      </c>
      <c r="H139"/>
      <c r="I139" s="51" t="s">
        <v>2278</v>
      </c>
      <c r="J139"/>
      <c r="K139"/>
      <c r="L139"/>
      <c r="M139" s="51" t="s">
        <v>2281</v>
      </c>
      <c r="N139" s="51" t="s">
        <v>2281</v>
      </c>
      <c r="O139" s="51" t="s">
        <v>2281</v>
      </c>
      <c r="P139" s="51" t="s">
        <v>2281</v>
      </c>
      <c r="Q139"/>
      <c r="R139" s="39" t="s">
        <v>440</v>
      </c>
      <c r="S139"/>
      <c r="T139"/>
      <c r="V139" s="51" t="s">
        <v>2143</v>
      </c>
      <c r="W139"/>
      <c r="X139"/>
      <c r="Y139"/>
      <c r="Z139"/>
      <c r="AB139"/>
      <c r="AC139"/>
      <c r="AD139"/>
      <c r="AE139"/>
      <c r="AF139"/>
      <c r="AG139"/>
      <c r="AH139"/>
      <c r="AI139"/>
      <c r="AJ139"/>
      <c r="AK139"/>
      <c r="AL139"/>
      <c r="AM139"/>
      <c r="AN139"/>
      <c r="AO139"/>
      <c r="AP139"/>
      <c r="AQ139"/>
      <c r="AR139"/>
      <c r="AS139"/>
      <c r="AT139"/>
      <c r="AU139"/>
      <c r="AV139"/>
      <c r="AW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row>
    <row r="140" spans="1:87">
      <c r="A140"/>
      <c r="B140"/>
      <c r="C140"/>
      <c r="D140"/>
      <c r="E140" s="39" t="s">
        <v>2286</v>
      </c>
      <c r="F140"/>
      <c r="G140" s="51" t="s">
        <v>2146</v>
      </c>
      <c r="H140"/>
      <c r="I140" s="51" t="s">
        <v>2280</v>
      </c>
      <c r="J140"/>
      <c r="K140"/>
      <c r="L140"/>
      <c r="M140" s="51" t="s">
        <v>1269</v>
      </c>
      <c r="N140" s="51" t="s">
        <v>1269</v>
      </c>
      <c r="O140" s="51" t="s">
        <v>1269</v>
      </c>
      <c r="P140" s="51" t="s">
        <v>1269</v>
      </c>
      <c r="Q140"/>
      <c r="R140" s="41" t="s">
        <v>375</v>
      </c>
      <c r="S140"/>
      <c r="T140"/>
      <c r="V140" s="51" t="s">
        <v>2146</v>
      </c>
      <c r="W140"/>
      <c r="X140"/>
      <c r="Y140"/>
      <c r="Z140"/>
      <c r="AB140"/>
      <c r="AC140"/>
      <c r="AD140"/>
      <c r="AE140"/>
      <c r="AF140"/>
      <c r="AG140"/>
      <c r="AH140"/>
      <c r="AI140"/>
      <c r="AJ140"/>
      <c r="AK140"/>
      <c r="AL140"/>
      <c r="AM140"/>
      <c r="AN140"/>
      <c r="AO140"/>
      <c r="AP140"/>
      <c r="AQ140"/>
      <c r="AR140"/>
      <c r="AS140"/>
      <c r="AT140"/>
      <c r="AU140"/>
      <c r="AV140"/>
      <c r="AW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row>
    <row r="141" spans="1:87">
      <c r="A141"/>
      <c r="B141"/>
      <c r="C141"/>
      <c r="D141"/>
      <c r="E141" s="39" t="s">
        <v>1349</v>
      </c>
      <c r="F141"/>
      <c r="G141" s="51" t="s">
        <v>2151</v>
      </c>
      <c r="H141"/>
      <c r="I141" s="51" t="s">
        <v>2283</v>
      </c>
      <c r="J141"/>
      <c r="K141"/>
      <c r="L141"/>
      <c r="M141" s="51" t="s">
        <v>2285</v>
      </c>
      <c r="N141" s="51" t="s">
        <v>2285</v>
      </c>
      <c r="O141" s="51" t="s">
        <v>2285</v>
      </c>
      <c r="P141" s="51" t="s">
        <v>2285</v>
      </c>
      <c r="Q141"/>
      <c r="R141" s="41" t="s">
        <v>384</v>
      </c>
      <c r="S141"/>
      <c r="T141"/>
      <c r="V141" s="51" t="s">
        <v>2151</v>
      </c>
      <c r="W141"/>
      <c r="X141"/>
      <c r="Y141"/>
      <c r="Z141"/>
      <c r="AB141"/>
      <c r="AC141"/>
      <c r="AD141"/>
      <c r="AE141"/>
      <c r="AF141"/>
      <c r="AG141"/>
      <c r="AH141"/>
      <c r="AI141"/>
      <c r="AJ141"/>
      <c r="AK141"/>
      <c r="AL141"/>
      <c r="AM141"/>
      <c r="AN141"/>
      <c r="AO141"/>
      <c r="AP141"/>
      <c r="AQ141"/>
      <c r="AR141"/>
      <c r="AS141"/>
      <c r="AT141"/>
      <c r="AU141"/>
      <c r="AV141"/>
      <c r="AW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row>
    <row r="142" spans="1:87">
      <c r="A142"/>
      <c r="B142"/>
      <c r="C142"/>
      <c r="D142"/>
      <c r="E142" s="89" t="s">
        <v>1788</v>
      </c>
      <c r="F142"/>
      <c r="G142" s="51" t="s">
        <v>2156</v>
      </c>
      <c r="H142"/>
      <c r="I142" s="51" t="s">
        <v>1337</v>
      </c>
      <c r="J142"/>
      <c r="K142"/>
      <c r="L142"/>
      <c r="M142" s="51" t="s">
        <v>2287</v>
      </c>
      <c r="N142" s="51" t="s">
        <v>2287</v>
      </c>
      <c r="O142" s="51" t="s">
        <v>2287</v>
      </c>
      <c r="P142" s="51" t="s">
        <v>2287</v>
      </c>
      <c r="Q142"/>
      <c r="R142" s="39" t="s">
        <v>441</v>
      </c>
      <c r="S142"/>
      <c r="T142"/>
      <c r="V142" s="51" t="s">
        <v>2156</v>
      </c>
      <c r="W142"/>
      <c r="X142"/>
      <c r="Y142"/>
      <c r="Z142"/>
      <c r="AB142"/>
      <c r="AC142"/>
      <c r="AD142"/>
      <c r="AE142"/>
      <c r="AF142"/>
      <c r="AG142"/>
      <c r="AH142"/>
      <c r="AI142"/>
      <c r="AJ142"/>
      <c r="AK142"/>
      <c r="AL142"/>
      <c r="AM142"/>
      <c r="AN142"/>
      <c r="AO142"/>
      <c r="AP142"/>
      <c r="AQ142"/>
      <c r="AR142"/>
      <c r="AS142"/>
      <c r="AT142"/>
      <c r="AU142"/>
      <c r="AV142"/>
      <c r="AW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row>
    <row r="143" spans="1:87">
      <c r="A143"/>
      <c r="B143"/>
      <c r="C143"/>
      <c r="D143"/>
      <c r="E143" s="89" t="s">
        <v>1790</v>
      </c>
      <c r="F143"/>
      <c r="G143" s="51" t="s">
        <v>2160</v>
      </c>
      <c r="H143"/>
      <c r="I143" s="51" t="s">
        <v>1339</v>
      </c>
      <c r="J143"/>
      <c r="K143"/>
      <c r="L143"/>
      <c r="M143" s="51" t="s">
        <v>2288</v>
      </c>
      <c r="N143" s="51" t="s">
        <v>2288</v>
      </c>
      <c r="O143" s="51" t="s">
        <v>2288</v>
      </c>
      <c r="P143" s="51" t="s">
        <v>2288</v>
      </c>
      <c r="Q143"/>
      <c r="R143" s="41" t="s">
        <v>390</v>
      </c>
      <c r="S143"/>
      <c r="T143"/>
      <c r="V143" s="51" t="s">
        <v>2160</v>
      </c>
      <c r="W143"/>
      <c r="X143"/>
      <c r="Y143"/>
      <c r="Z143"/>
      <c r="AB143"/>
      <c r="AC143"/>
      <c r="AD143"/>
      <c r="AE143"/>
      <c r="AF143"/>
      <c r="AG143"/>
      <c r="AH143"/>
      <c r="AI143"/>
      <c r="AJ143"/>
      <c r="AK143"/>
      <c r="AL143"/>
      <c r="AM143"/>
      <c r="AN143"/>
      <c r="AO143"/>
      <c r="AP143"/>
      <c r="AQ143"/>
      <c r="AR143"/>
      <c r="AS143"/>
      <c r="AT143"/>
      <c r="AU143"/>
      <c r="AV143"/>
      <c r="AW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row>
    <row r="144" spans="1:87">
      <c r="A144"/>
      <c r="B144"/>
      <c r="C144"/>
      <c r="D144"/>
      <c r="E144" s="89" t="s">
        <v>1792</v>
      </c>
      <c r="F144"/>
      <c r="G144" s="51" t="s">
        <v>2164</v>
      </c>
      <c r="H144"/>
      <c r="I144" s="51" t="s">
        <v>1340</v>
      </c>
      <c r="J144"/>
      <c r="K144"/>
      <c r="L144"/>
      <c r="M144" s="51" t="s">
        <v>2289</v>
      </c>
      <c r="N144" s="51" t="s">
        <v>2289</v>
      </c>
      <c r="O144" s="51" t="s">
        <v>2289</v>
      </c>
      <c r="P144" s="51" t="s">
        <v>2289</v>
      </c>
      <c r="Q144"/>
      <c r="R144" s="41" t="s">
        <v>398</v>
      </c>
      <c r="S144"/>
      <c r="T144"/>
      <c r="V144" s="51" t="s">
        <v>2164</v>
      </c>
      <c r="W144"/>
      <c r="X144"/>
      <c r="Y144"/>
      <c r="Z144"/>
      <c r="AB144"/>
      <c r="AC144"/>
      <c r="AD144"/>
      <c r="AE144"/>
      <c r="AF144"/>
      <c r="AG144"/>
      <c r="AH144"/>
      <c r="AI144"/>
      <c r="AJ144"/>
      <c r="AK144"/>
      <c r="AL144"/>
      <c r="AM144"/>
      <c r="AN144"/>
      <c r="AO144"/>
      <c r="AP144"/>
      <c r="AQ144"/>
      <c r="AR144"/>
      <c r="AS144"/>
      <c r="AT144"/>
      <c r="AU144"/>
      <c r="AV144"/>
      <c r="AW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row>
    <row r="145" spans="1:87">
      <c r="A145"/>
      <c r="B145"/>
      <c r="C145"/>
      <c r="D145"/>
      <c r="E145" s="89" t="s">
        <v>1793</v>
      </c>
      <c r="F145"/>
      <c r="G145" s="51" t="s">
        <v>2199</v>
      </c>
      <c r="H145"/>
      <c r="I145" s="90" t="s">
        <v>1789</v>
      </c>
      <c r="J145"/>
      <c r="K145"/>
      <c r="L145"/>
      <c r="M145" s="51" t="s">
        <v>2290</v>
      </c>
      <c r="N145" s="51" t="s">
        <v>2290</v>
      </c>
      <c r="O145" s="51" t="s">
        <v>2290</v>
      </c>
      <c r="P145" s="51" t="s">
        <v>2290</v>
      </c>
      <c r="Q145"/>
      <c r="R145" s="28" t="s">
        <v>1270</v>
      </c>
      <c r="S145"/>
      <c r="T145"/>
      <c r="V145" s="51" t="s">
        <v>2199</v>
      </c>
      <c r="W145"/>
      <c r="X145"/>
      <c r="Y145"/>
      <c r="Z145"/>
      <c r="AB145"/>
      <c r="AC145"/>
      <c r="AD145"/>
      <c r="AE145"/>
      <c r="AF145"/>
      <c r="AG145"/>
      <c r="AH145"/>
      <c r="AI145"/>
      <c r="AJ145"/>
      <c r="AK145"/>
      <c r="AL145"/>
      <c r="AM145"/>
      <c r="AN145"/>
      <c r="AO145"/>
      <c r="AP145"/>
      <c r="AQ145"/>
      <c r="AR145"/>
      <c r="AS145"/>
      <c r="AT145"/>
      <c r="AU145"/>
      <c r="AV145"/>
      <c r="AW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row>
    <row r="146" spans="1:87">
      <c r="A146"/>
      <c r="B146"/>
      <c r="C146"/>
      <c r="D146"/>
      <c r="E146" s="89" t="s">
        <v>1794</v>
      </c>
      <c r="F146"/>
      <c r="G146" s="51" t="s">
        <v>2202</v>
      </c>
      <c r="H146"/>
      <c r="I146" s="90" t="s">
        <v>1791</v>
      </c>
      <c r="J146"/>
      <c r="K146"/>
      <c r="L146"/>
      <c r="M146" s="51" t="s">
        <v>2292</v>
      </c>
      <c r="N146" s="51" t="s">
        <v>2292</v>
      </c>
      <c r="O146" s="51" t="s">
        <v>2292</v>
      </c>
      <c r="P146" s="51" t="s">
        <v>2292</v>
      </c>
      <c r="Q146"/>
      <c r="R146" s="2" t="s">
        <v>2781</v>
      </c>
      <c r="S146"/>
      <c r="T146"/>
      <c r="V146" s="51" t="s">
        <v>2202</v>
      </c>
      <c r="W146"/>
      <c r="X146"/>
      <c r="Y146"/>
      <c r="Z146"/>
      <c r="AB146"/>
      <c r="AC146"/>
      <c r="AD146"/>
      <c r="AE146"/>
      <c r="AF146"/>
      <c r="AG146"/>
      <c r="AH146"/>
      <c r="AI146"/>
      <c r="AJ146"/>
      <c r="AK146"/>
      <c r="AL146"/>
      <c r="AM146"/>
      <c r="AN146"/>
      <c r="AO146"/>
      <c r="AP146"/>
      <c r="AQ146"/>
      <c r="AR146"/>
      <c r="AS146"/>
      <c r="AT146"/>
      <c r="AU146"/>
      <c r="AV146"/>
      <c r="AW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row>
    <row r="147" spans="1:87">
      <c r="A147"/>
      <c r="B147"/>
      <c r="C147"/>
      <c r="D147"/>
      <c r="E147" s="89" t="s">
        <v>1795</v>
      </c>
      <c r="F147"/>
      <c r="G147" s="51" t="s">
        <v>1296</v>
      </c>
      <c r="H147"/>
      <c r="I147" s="51" t="s">
        <v>2291</v>
      </c>
      <c r="J147"/>
      <c r="K147"/>
      <c r="L147"/>
      <c r="M147" s="51" t="s">
        <v>2293</v>
      </c>
      <c r="N147" s="51" t="s">
        <v>2293</v>
      </c>
      <c r="O147" s="51" t="s">
        <v>2293</v>
      </c>
      <c r="P147" s="51" t="s">
        <v>2293</v>
      </c>
      <c r="Q147"/>
      <c r="S147"/>
      <c r="T147"/>
      <c r="V147" s="51" t="s">
        <v>1296</v>
      </c>
      <c r="W147"/>
      <c r="X147"/>
      <c r="Y147"/>
      <c r="Z147"/>
      <c r="AB147"/>
      <c r="AC147"/>
      <c r="AD147"/>
      <c r="AE147"/>
      <c r="AF147"/>
      <c r="AG147"/>
      <c r="AH147"/>
      <c r="AI147"/>
      <c r="AJ147"/>
      <c r="AK147"/>
      <c r="AL147"/>
      <c r="AM147"/>
      <c r="AN147"/>
      <c r="AO147"/>
      <c r="AP147"/>
      <c r="AQ147"/>
      <c r="AR147"/>
      <c r="AS147"/>
      <c r="AT147"/>
      <c r="AU147"/>
      <c r="AV147"/>
      <c r="AW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row>
    <row r="148" spans="1:87">
      <c r="A148"/>
      <c r="B148"/>
      <c r="C148"/>
      <c r="D148"/>
      <c r="E148" s="89" t="s">
        <v>1797</v>
      </c>
      <c r="F148"/>
      <c r="G148" s="51" t="s">
        <v>1298</v>
      </c>
      <c r="H148"/>
      <c r="I148" s="51" t="s">
        <v>1342</v>
      </c>
      <c r="J148"/>
      <c r="K148"/>
      <c r="L148"/>
      <c r="M148" t="s">
        <v>1275</v>
      </c>
      <c r="N148" t="s">
        <v>1275</v>
      </c>
      <c r="O148" t="s">
        <v>1275</v>
      </c>
      <c r="P148" t="s">
        <v>1275</v>
      </c>
      <c r="Q148"/>
      <c r="S148"/>
      <c r="T148"/>
      <c r="V148" s="51" t="s">
        <v>1298</v>
      </c>
      <c r="W148"/>
      <c r="X148"/>
      <c r="Y148"/>
      <c r="Z148"/>
      <c r="AB148"/>
      <c r="AC148"/>
      <c r="AD148"/>
      <c r="AE148"/>
      <c r="AF148"/>
      <c r="AG148"/>
      <c r="AH148"/>
      <c r="AI148"/>
      <c r="AJ148"/>
      <c r="AK148"/>
      <c r="AL148"/>
      <c r="AM148"/>
      <c r="AN148"/>
      <c r="AO148"/>
      <c r="AP148"/>
      <c r="AQ148"/>
      <c r="AR148"/>
      <c r="AS148"/>
      <c r="AT148"/>
      <c r="AU148"/>
      <c r="AV148"/>
      <c r="AW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row>
    <row r="149" spans="1:87">
      <c r="A149"/>
      <c r="B149"/>
      <c r="C149"/>
      <c r="D149"/>
      <c r="E149" s="2" t="s">
        <v>1350</v>
      </c>
      <c r="F149"/>
      <c r="G149" s="51" t="s">
        <v>2205</v>
      </c>
      <c r="H149"/>
      <c r="I149" s="51" t="s">
        <v>1344</v>
      </c>
      <c r="J149"/>
      <c r="K149"/>
      <c r="L149"/>
      <c r="M149" s="51" t="s">
        <v>1281</v>
      </c>
      <c r="N149" s="51" t="s">
        <v>1281</v>
      </c>
      <c r="O149" s="51" t="s">
        <v>1281</v>
      </c>
      <c r="P149" s="51" t="s">
        <v>1281</v>
      </c>
      <c r="Q149"/>
      <c r="S149"/>
      <c r="T149"/>
      <c r="V149" s="51" t="s">
        <v>2205</v>
      </c>
      <c r="W149"/>
      <c r="X149"/>
      <c r="Y149"/>
      <c r="Z149"/>
      <c r="AB149"/>
      <c r="AC149"/>
      <c r="AD149"/>
      <c r="AE149"/>
      <c r="AF149"/>
      <c r="AG149"/>
      <c r="AH149"/>
      <c r="AI149"/>
      <c r="AJ149"/>
      <c r="AK149"/>
      <c r="AL149"/>
      <c r="AM149"/>
      <c r="AN149"/>
      <c r="AO149"/>
      <c r="AP149"/>
      <c r="AQ149"/>
      <c r="AR149"/>
      <c r="AS149"/>
      <c r="AT149"/>
      <c r="AU149"/>
      <c r="AV149"/>
      <c r="AW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row>
    <row r="150" spans="1:87">
      <c r="A150"/>
      <c r="B150"/>
      <c r="C150"/>
      <c r="D150"/>
      <c r="E150" s="2" t="s">
        <v>1351</v>
      </c>
      <c r="F150"/>
      <c r="G150" s="51" t="s">
        <v>2208</v>
      </c>
      <c r="H150"/>
      <c r="I150" s="91" t="s">
        <v>1796</v>
      </c>
      <c r="J150"/>
      <c r="K150"/>
      <c r="L150"/>
      <c r="M150" s="51" t="s">
        <v>2294</v>
      </c>
      <c r="N150" s="51" t="s">
        <v>2294</v>
      </c>
      <c r="O150" s="51" t="s">
        <v>2294</v>
      </c>
      <c r="P150" s="51" t="s">
        <v>2294</v>
      </c>
      <c r="Q150"/>
      <c r="S150"/>
      <c r="T150"/>
      <c r="V150" s="51" t="s">
        <v>2208</v>
      </c>
      <c r="W150"/>
      <c r="X150"/>
      <c r="Y150"/>
      <c r="Z150"/>
      <c r="AB150"/>
      <c r="AC150"/>
      <c r="AD150"/>
      <c r="AE150"/>
      <c r="AF150"/>
      <c r="AG150"/>
      <c r="AH150"/>
      <c r="AI150"/>
      <c r="AJ150"/>
      <c r="AK150"/>
      <c r="AL150"/>
      <c r="AM150"/>
      <c r="AN150"/>
      <c r="AO150"/>
      <c r="AP150"/>
      <c r="AQ150"/>
      <c r="AR150"/>
      <c r="AS150"/>
      <c r="AT150"/>
      <c r="AU150"/>
      <c r="AV150"/>
      <c r="AW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row>
    <row r="151" spans="1:87">
      <c r="A151"/>
      <c r="B151"/>
      <c r="C151"/>
      <c r="D151"/>
      <c r="E151" s="2" t="s">
        <v>1352</v>
      </c>
      <c r="F151"/>
      <c r="G151" s="51" t="s">
        <v>2209</v>
      </c>
      <c r="H151"/>
      <c r="I151" s="91" t="s">
        <v>1798</v>
      </c>
      <c r="J151"/>
      <c r="K151"/>
      <c r="L151"/>
      <c r="M151" s="51" t="s">
        <v>2296</v>
      </c>
      <c r="N151" s="51" t="s">
        <v>2296</v>
      </c>
      <c r="O151" s="51" t="s">
        <v>2296</v>
      </c>
      <c r="P151" s="51" t="s">
        <v>2296</v>
      </c>
      <c r="Q151"/>
      <c r="S151"/>
      <c r="T151"/>
      <c r="V151" s="51" t="s">
        <v>2209</v>
      </c>
      <c r="W151"/>
      <c r="X151"/>
      <c r="Y151"/>
      <c r="Z151"/>
      <c r="AB151"/>
      <c r="AC151"/>
      <c r="AD151"/>
      <c r="AE151"/>
      <c r="AF151"/>
      <c r="AG151"/>
      <c r="AH151"/>
      <c r="AI151"/>
      <c r="AJ151"/>
      <c r="AK151"/>
      <c r="AL151"/>
      <c r="AM151"/>
      <c r="AN151"/>
      <c r="AO151"/>
      <c r="AP151"/>
      <c r="AQ151"/>
      <c r="AR151"/>
      <c r="AS151"/>
      <c r="AT151"/>
      <c r="AU151"/>
      <c r="AV151"/>
      <c r="AW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row>
    <row r="152" spans="1:87">
      <c r="A152"/>
      <c r="B152"/>
      <c r="C152"/>
      <c r="D152"/>
      <c r="E152" s="2" t="s">
        <v>1353</v>
      </c>
      <c r="F152"/>
      <c r="G152" s="51" t="s">
        <v>1301</v>
      </c>
      <c r="H152"/>
      <c r="I152" s="91" t="s">
        <v>2295</v>
      </c>
      <c r="J152"/>
      <c r="K152"/>
      <c r="L152"/>
      <c r="M152" s="2" t="s">
        <v>2782</v>
      </c>
      <c r="N152"/>
      <c r="O152"/>
      <c r="P152"/>
      <c r="Q152"/>
      <c r="S152"/>
      <c r="T152"/>
      <c r="V152" s="51" t="s">
        <v>1301</v>
      </c>
      <c r="W152"/>
      <c r="X152"/>
      <c r="Y152"/>
      <c r="Z152"/>
      <c r="AB152"/>
      <c r="AC152"/>
      <c r="AD152"/>
      <c r="AE152"/>
      <c r="AF152"/>
      <c r="AG152"/>
      <c r="AH152"/>
      <c r="AI152"/>
      <c r="AJ152"/>
      <c r="AK152"/>
      <c r="AL152"/>
      <c r="AM152"/>
      <c r="AN152"/>
      <c r="AO152"/>
      <c r="AP152"/>
      <c r="AQ152"/>
      <c r="AR152"/>
      <c r="AS152"/>
      <c r="AT152"/>
      <c r="AU152"/>
      <c r="AV152"/>
      <c r="AW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row>
    <row r="153" spans="1:87">
      <c r="A153"/>
      <c r="B153"/>
      <c r="C153"/>
      <c r="D153"/>
      <c r="E153" s="2" t="s">
        <v>1354</v>
      </c>
      <c r="F153"/>
      <c r="G153" s="51" t="s">
        <v>1304</v>
      </c>
      <c r="H153"/>
      <c r="I153" s="51" t="s">
        <v>2297</v>
      </c>
      <c r="J153"/>
      <c r="K153"/>
      <c r="L153"/>
      <c r="M153" s="28"/>
      <c r="N153"/>
      <c r="O153"/>
      <c r="P153"/>
      <c r="Q153"/>
      <c r="S153"/>
      <c r="T153"/>
      <c r="U153"/>
      <c r="V153" s="51" t="s">
        <v>1304</v>
      </c>
      <c r="W153"/>
      <c r="X153"/>
      <c r="Y153"/>
      <c r="Z153"/>
      <c r="AB153"/>
      <c r="AC153"/>
      <c r="AD153"/>
      <c r="AE153"/>
      <c r="AF153"/>
      <c r="AG153"/>
      <c r="AH153"/>
      <c r="AI153"/>
      <c r="AJ153"/>
      <c r="AK153"/>
      <c r="AL153"/>
      <c r="AM153"/>
      <c r="AN153"/>
      <c r="AO153"/>
      <c r="AP153"/>
      <c r="AQ153"/>
      <c r="AR153"/>
      <c r="AS153"/>
      <c r="AT153"/>
      <c r="AU153"/>
      <c r="AV153"/>
      <c r="AW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row>
    <row r="154" spans="1:87">
      <c r="A154"/>
      <c r="B154"/>
      <c r="C154"/>
      <c r="D154"/>
      <c r="E154" s="2" t="s">
        <v>1355</v>
      </c>
      <c r="F154"/>
      <c r="G154" s="51" t="s">
        <v>2213</v>
      </c>
      <c r="H154"/>
      <c r="I154" s="51" t="s">
        <v>1346</v>
      </c>
      <c r="J154"/>
      <c r="K154"/>
      <c r="L154"/>
      <c r="M154" s="28"/>
      <c r="N154"/>
      <c r="O154"/>
      <c r="P154"/>
      <c r="Q154"/>
      <c r="S154"/>
      <c r="T154"/>
      <c r="U154"/>
      <c r="V154" s="51" t="s">
        <v>2213</v>
      </c>
      <c r="W154"/>
      <c r="X154"/>
      <c r="Y154"/>
      <c r="Z154"/>
      <c r="AB154"/>
      <c r="AC154"/>
      <c r="AD154"/>
      <c r="AE154"/>
      <c r="AF154"/>
      <c r="AG154"/>
      <c r="AH154"/>
      <c r="AI154"/>
      <c r="AJ154"/>
      <c r="AK154"/>
      <c r="AL154"/>
      <c r="AM154"/>
      <c r="AN154"/>
      <c r="AO154"/>
      <c r="AP154"/>
      <c r="AQ154"/>
      <c r="AR154"/>
      <c r="AS154"/>
      <c r="AT154"/>
      <c r="AU154"/>
      <c r="AV154"/>
      <c r="AW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row>
    <row r="155" spans="1:87">
      <c r="A155"/>
      <c r="B155"/>
      <c r="C155"/>
      <c r="D155"/>
      <c r="E155" s="2" t="s">
        <v>1356</v>
      </c>
      <c r="F155"/>
      <c r="G155" s="51" t="s">
        <v>2216</v>
      </c>
      <c r="H155"/>
      <c r="I155" s="92" t="s">
        <v>1799</v>
      </c>
      <c r="J155"/>
      <c r="K155"/>
      <c r="L155"/>
      <c r="N155"/>
      <c r="O155"/>
      <c r="P155"/>
      <c r="Q155"/>
      <c r="S155"/>
      <c r="T155"/>
      <c r="U155"/>
      <c r="V155" s="51" t="s">
        <v>2216</v>
      </c>
      <c r="W155"/>
      <c r="X155"/>
      <c r="Y155"/>
      <c r="Z155"/>
      <c r="AB155"/>
      <c r="AC155"/>
      <c r="AD155"/>
      <c r="AE155"/>
      <c r="AF155"/>
      <c r="AG155"/>
      <c r="AH155"/>
      <c r="AI155"/>
      <c r="AJ155"/>
      <c r="AK155"/>
      <c r="AL155"/>
      <c r="AM155"/>
      <c r="AN155"/>
      <c r="AO155"/>
      <c r="AP155"/>
      <c r="AQ155"/>
      <c r="AR155"/>
      <c r="AS155"/>
      <c r="AT155"/>
      <c r="AU155"/>
      <c r="AV155"/>
      <c r="AW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row>
    <row r="156" spans="1:87">
      <c r="A156"/>
      <c r="B156"/>
      <c r="C156"/>
      <c r="D156"/>
      <c r="E156" s="2" t="s">
        <v>1357</v>
      </c>
      <c r="F156"/>
      <c r="G156" s="51" t="s">
        <v>1307</v>
      </c>
      <c r="H156"/>
      <c r="I156" s="92" t="s">
        <v>2298</v>
      </c>
      <c r="J156"/>
      <c r="K156"/>
      <c r="L156"/>
      <c r="N156"/>
      <c r="O156"/>
      <c r="P156"/>
      <c r="Q156"/>
      <c r="S156"/>
      <c r="T156"/>
      <c r="U156"/>
      <c r="V156" s="51" t="s">
        <v>1307</v>
      </c>
      <c r="W156"/>
      <c r="X156"/>
      <c r="Y156"/>
      <c r="Z156"/>
      <c r="AB156"/>
      <c r="AC156"/>
      <c r="AD156"/>
      <c r="AE156"/>
      <c r="AF156"/>
      <c r="AG156"/>
      <c r="AH156"/>
      <c r="AI156"/>
      <c r="AJ156"/>
      <c r="AK156"/>
      <c r="AL156"/>
      <c r="AM156"/>
      <c r="AN156"/>
      <c r="AO156"/>
      <c r="AP156"/>
      <c r="AQ156"/>
      <c r="AR156"/>
      <c r="AS156"/>
      <c r="AT156"/>
      <c r="AU156"/>
      <c r="AV156"/>
      <c r="AW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row>
    <row r="157" spans="1:87">
      <c r="A157"/>
      <c r="B157"/>
      <c r="C157"/>
      <c r="D157"/>
      <c r="E157" s="2" t="s">
        <v>1358</v>
      </c>
      <c r="F157"/>
      <c r="G157" s="51" t="s">
        <v>2221</v>
      </c>
      <c r="H157"/>
      <c r="I157" s="92" t="s">
        <v>2299</v>
      </c>
      <c r="J157"/>
      <c r="K157"/>
      <c r="L157"/>
      <c r="M157" s="28"/>
      <c r="N157"/>
      <c r="O157"/>
      <c r="P157"/>
      <c r="Q157"/>
      <c r="S157"/>
      <c r="T157"/>
      <c r="U157"/>
      <c r="V157" s="51" t="s">
        <v>2221</v>
      </c>
      <c r="W157"/>
      <c r="X157"/>
      <c r="Y157"/>
      <c r="Z157"/>
      <c r="AB157"/>
      <c r="AC157"/>
      <c r="AD157"/>
      <c r="AE157"/>
      <c r="AF157"/>
      <c r="AG157"/>
      <c r="AH157"/>
      <c r="AI157"/>
      <c r="AJ157"/>
      <c r="AK157"/>
      <c r="AL157"/>
      <c r="AM157"/>
      <c r="AN157"/>
      <c r="AO157"/>
      <c r="AP157"/>
      <c r="AQ157"/>
      <c r="AR157"/>
      <c r="AS157"/>
      <c r="AT157"/>
      <c r="AU157"/>
      <c r="AV157"/>
      <c r="AW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row>
    <row r="158" spans="1:87">
      <c r="A158"/>
      <c r="B158"/>
      <c r="C158"/>
      <c r="D158"/>
      <c r="E158" s="2" t="s">
        <v>1359</v>
      </c>
      <c r="F158"/>
      <c r="G158" s="51" t="s">
        <v>2224</v>
      </c>
      <c r="H158"/>
      <c r="I158" s="51" t="s">
        <v>2300</v>
      </c>
      <c r="J158"/>
      <c r="K158"/>
      <c r="L158"/>
      <c r="N158"/>
      <c r="O158"/>
      <c r="P158"/>
      <c r="Q158"/>
      <c r="S158"/>
      <c r="T158"/>
      <c r="U158"/>
      <c r="V158" s="51" t="s">
        <v>2224</v>
      </c>
      <c r="W158"/>
      <c r="X158"/>
      <c r="Y158"/>
      <c r="Z158"/>
      <c r="AB158"/>
      <c r="AC158"/>
      <c r="AD158"/>
      <c r="AE158"/>
      <c r="AF158"/>
      <c r="AG158"/>
      <c r="AH158"/>
      <c r="AI158"/>
      <c r="AJ158"/>
      <c r="AK158"/>
      <c r="AL158"/>
      <c r="AM158"/>
      <c r="AN158"/>
      <c r="AO158"/>
      <c r="AP158"/>
      <c r="AQ158"/>
      <c r="AR158"/>
      <c r="AS158"/>
      <c r="AT158"/>
      <c r="AU158"/>
      <c r="AV158"/>
      <c r="AW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row>
    <row r="159" spans="1:87">
      <c r="A159"/>
      <c r="B159"/>
      <c r="C159"/>
      <c r="D159"/>
      <c r="E159" s="2" t="s">
        <v>1360</v>
      </c>
      <c r="F159"/>
      <c r="G159" s="51" t="s">
        <v>2227</v>
      </c>
      <c r="H159"/>
      <c r="I159" s="51" t="s">
        <v>2301</v>
      </c>
      <c r="J159"/>
      <c r="K159"/>
      <c r="L159"/>
      <c r="M159" s="28"/>
      <c r="N159"/>
      <c r="O159"/>
      <c r="P159"/>
      <c r="Q159"/>
      <c r="S159"/>
      <c r="T159"/>
      <c r="U159"/>
      <c r="V159" s="51" t="s">
        <v>2227</v>
      </c>
      <c r="W159"/>
      <c r="X159"/>
      <c r="Y159"/>
      <c r="Z159"/>
      <c r="AB159"/>
      <c r="AC159"/>
      <c r="AD159"/>
      <c r="AE159"/>
      <c r="AF159"/>
      <c r="AG159"/>
      <c r="AH159"/>
      <c r="AI159"/>
      <c r="AJ159"/>
      <c r="AK159"/>
      <c r="AL159"/>
      <c r="AM159"/>
      <c r="AN159"/>
      <c r="AO159"/>
      <c r="AP159"/>
      <c r="AQ159"/>
      <c r="AR159"/>
      <c r="AS159"/>
      <c r="AT159"/>
      <c r="AU159"/>
      <c r="AV159"/>
      <c r="AW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row>
    <row r="160" spans="1:87">
      <c r="A160"/>
      <c r="B160"/>
      <c r="C160"/>
      <c r="D160"/>
      <c r="E160" s="39" t="s">
        <v>1361</v>
      </c>
      <c r="F160"/>
      <c r="G160" s="51" t="s">
        <v>2229</v>
      </c>
      <c r="H160"/>
      <c r="I160" s="51" t="s">
        <v>1348</v>
      </c>
      <c r="J160"/>
      <c r="K160"/>
      <c r="L160"/>
      <c r="M160" s="31"/>
      <c r="N160"/>
      <c r="O160"/>
      <c r="P160"/>
      <c r="Q160"/>
      <c r="S160"/>
      <c r="T160"/>
      <c r="U160"/>
      <c r="V160" s="51" t="s">
        <v>2229</v>
      </c>
      <c r="W160"/>
      <c r="X160"/>
      <c r="Y160"/>
      <c r="Z160"/>
      <c r="AB160"/>
      <c r="AC160"/>
      <c r="AD160"/>
      <c r="AE160"/>
      <c r="AF160"/>
      <c r="AG160"/>
      <c r="AH160"/>
      <c r="AI160"/>
      <c r="AJ160"/>
      <c r="AK160"/>
      <c r="AL160"/>
      <c r="AM160"/>
      <c r="AN160"/>
      <c r="AO160"/>
      <c r="AP160"/>
      <c r="AQ160"/>
      <c r="AR160"/>
      <c r="AS160"/>
      <c r="AT160"/>
      <c r="AU160"/>
      <c r="AV160"/>
      <c r="AW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row>
    <row r="161" spans="1:87">
      <c r="A161"/>
      <c r="B161"/>
      <c r="C161"/>
      <c r="D161"/>
      <c r="E161" s="93" t="s">
        <v>2305</v>
      </c>
      <c r="F161"/>
      <c r="G161" s="75" t="s">
        <v>2251</v>
      </c>
      <c r="H161"/>
      <c r="I161" s="92" t="s">
        <v>2302</v>
      </c>
      <c r="J161"/>
      <c r="K161"/>
      <c r="L161"/>
      <c r="M161" s="28"/>
      <c r="N161"/>
      <c r="O161"/>
      <c r="P161"/>
      <c r="Q161"/>
      <c r="S161"/>
      <c r="T161"/>
      <c r="U161"/>
      <c r="V161" s="75" t="s">
        <v>2251</v>
      </c>
      <c r="W161"/>
      <c r="X161"/>
      <c r="Y161"/>
      <c r="Z161"/>
      <c r="AB161"/>
      <c r="AC161"/>
      <c r="AD161"/>
      <c r="AE161"/>
      <c r="AF161"/>
      <c r="AG161"/>
      <c r="AH161"/>
      <c r="AI161"/>
      <c r="AJ161"/>
      <c r="AK161"/>
      <c r="AL161"/>
      <c r="AM161"/>
      <c r="AN161"/>
      <c r="AO161"/>
      <c r="AP161"/>
      <c r="AQ161"/>
      <c r="AR161"/>
      <c r="AS161"/>
      <c r="AT161"/>
      <c r="AU161"/>
      <c r="AV161"/>
      <c r="AW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row>
    <row r="162" spans="1:87">
      <c r="A162"/>
      <c r="B162"/>
      <c r="C162"/>
      <c r="D162"/>
      <c r="E162" s="93" t="s">
        <v>1800</v>
      </c>
      <c r="F162"/>
      <c r="G162" s="75" t="s">
        <v>1329</v>
      </c>
      <c r="H162"/>
      <c r="I162" s="92" t="s">
        <v>2303</v>
      </c>
      <c r="J162"/>
      <c r="K162"/>
      <c r="L162"/>
      <c r="N162"/>
      <c r="O162"/>
      <c r="P162"/>
      <c r="Q162"/>
      <c r="S162"/>
      <c r="T162"/>
      <c r="U162"/>
      <c r="V162" s="75" t="s">
        <v>1329</v>
      </c>
      <c r="W162"/>
      <c r="X162"/>
      <c r="Y162"/>
      <c r="Z162"/>
      <c r="AB162"/>
      <c r="AC162"/>
      <c r="AD162"/>
      <c r="AE162"/>
      <c r="AF162"/>
      <c r="AG162"/>
      <c r="AH162"/>
      <c r="AI162"/>
      <c r="AJ162"/>
      <c r="AK162"/>
      <c r="AL162"/>
      <c r="AM162"/>
      <c r="AN162"/>
      <c r="AO162"/>
      <c r="AP162"/>
      <c r="AQ162"/>
      <c r="AR162"/>
      <c r="AS162"/>
      <c r="AT162"/>
      <c r="AU162"/>
      <c r="AV162"/>
      <c r="AW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row>
    <row r="163" spans="1:87">
      <c r="A163"/>
      <c r="B163"/>
      <c r="C163"/>
      <c r="D163"/>
      <c r="E163" s="93" t="s">
        <v>2308</v>
      </c>
      <c r="F163"/>
      <c r="G163" s="51" t="s">
        <v>1331</v>
      </c>
      <c r="H163"/>
      <c r="I163" s="51" t="s">
        <v>2304</v>
      </c>
      <c r="J163"/>
      <c r="K163"/>
      <c r="L163"/>
      <c r="M163" s="31"/>
      <c r="N163"/>
      <c r="O163"/>
      <c r="P163"/>
      <c r="Q163"/>
      <c r="S163"/>
      <c r="T163"/>
      <c r="U163"/>
      <c r="V163" s="51" t="s">
        <v>1331</v>
      </c>
      <c r="W163"/>
      <c r="X163"/>
      <c r="Y163"/>
      <c r="Z163"/>
      <c r="AB163"/>
      <c r="AC163"/>
      <c r="AD163"/>
      <c r="AE163"/>
      <c r="AF163"/>
      <c r="AG163"/>
      <c r="AH163"/>
      <c r="AI163"/>
      <c r="AJ163"/>
      <c r="AK163"/>
      <c r="AL163"/>
      <c r="AM163"/>
      <c r="AN163"/>
      <c r="AO163"/>
      <c r="AP163"/>
      <c r="AQ163"/>
      <c r="AR163"/>
      <c r="AS163"/>
      <c r="AT163"/>
      <c r="AU163"/>
      <c r="AV163"/>
      <c r="AW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row>
    <row r="164" spans="1:87">
      <c r="A164"/>
      <c r="B164"/>
      <c r="C164"/>
      <c r="D164"/>
      <c r="E164" s="2" t="s">
        <v>1362</v>
      </c>
      <c r="F164"/>
      <c r="G164" s="88" t="s">
        <v>1333</v>
      </c>
      <c r="H164"/>
      <c r="I164" s="51" t="s">
        <v>2306</v>
      </c>
      <c r="J164"/>
      <c r="K164"/>
      <c r="L164"/>
      <c r="M164" s="31"/>
      <c r="N164"/>
      <c r="O164"/>
      <c r="P164"/>
      <c r="Q164"/>
      <c r="S164"/>
      <c r="T164"/>
      <c r="U164"/>
      <c r="V164" s="88" t="s">
        <v>1333</v>
      </c>
      <c r="W164"/>
      <c r="X164"/>
      <c r="Y164"/>
      <c r="Z164"/>
      <c r="AB164"/>
      <c r="AC164"/>
      <c r="AD164"/>
      <c r="AE164"/>
      <c r="AF164"/>
      <c r="AG164"/>
      <c r="AH164"/>
      <c r="AI164"/>
      <c r="AJ164"/>
      <c r="AK164"/>
      <c r="AL164"/>
      <c r="AM164"/>
      <c r="AN164"/>
      <c r="AO164"/>
      <c r="AP164"/>
      <c r="AQ164"/>
      <c r="AR164"/>
      <c r="AS164"/>
      <c r="AT164"/>
      <c r="AU164"/>
      <c r="AV164"/>
      <c r="AW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row>
    <row r="165" spans="1:87">
      <c r="A165"/>
      <c r="B165"/>
      <c r="C165"/>
      <c r="D165"/>
      <c r="E165" s="2" t="s">
        <v>1363</v>
      </c>
      <c r="F165"/>
      <c r="G165" s="88" t="s">
        <v>1396</v>
      </c>
      <c r="H165"/>
      <c r="I165" s="92" t="s">
        <v>2307</v>
      </c>
      <c r="J165"/>
      <c r="K165"/>
      <c r="L165"/>
      <c r="M165" s="31"/>
      <c r="N165"/>
      <c r="O165"/>
      <c r="P165"/>
      <c r="Q165"/>
      <c r="S165"/>
      <c r="T165"/>
      <c r="U165"/>
      <c r="V165" s="88" t="s">
        <v>1396</v>
      </c>
      <c r="W165"/>
      <c r="X165"/>
      <c r="Y165"/>
      <c r="Z165"/>
      <c r="AB165"/>
      <c r="AC165"/>
      <c r="AD165"/>
      <c r="AE165"/>
      <c r="AF165"/>
      <c r="AG165"/>
      <c r="AH165"/>
      <c r="AI165"/>
      <c r="AJ165"/>
      <c r="AK165"/>
      <c r="AL165"/>
      <c r="AM165"/>
      <c r="AN165"/>
      <c r="AO165"/>
      <c r="AP165"/>
      <c r="AQ165"/>
      <c r="AR165"/>
      <c r="AS165"/>
      <c r="AT165"/>
      <c r="AU165"/>
      <c r="AV165"/>
      <c r="AW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row>
    <row r="166" spans="1:87">
      <c r="A166"/>
      <c r="B166"/>
      <c r="C166"/>
      <c r="D166"/>
      <c r="E166" s="2" t="s">
        <v>1364</v>
      </c>
      <c r="F166"/>
      <c r="G166" s="88" t="s">
        <v>2259</v>
      </c>
      <c r="H166"/>
      <c r="I166" s="2" t="s">
        <v>2783</v>
      </c>
      <c r="J166"/>
      <c r="K166"/>
      <c r="L166"/>
      <c r="N166"/>
      <c r="O166"/>
      <c r="P166"/>
      <c r="Q166"/>
      <c r="S166"/>
      <c r="T166"/>
      <c r="U166"/>
      <c r="V166" s="88" t="s">
        <v>2259</v>
      </c>
      <c r="W166"/>
      <c r="X166"/>
      <c r="Y166"/>
      <c r="Z166"/>
      <c r="AB166"/>
      <c r="AC166"/>
      <c r="AD166"/>
      <c r="AE166"/>
      <c r="AF166"/>
      <c r="AG166"/>
      <c r="AH166"/>
      <c r="AI166"/>
      <c r="AJ166"/>
      <c r="AK166"/>
      <c r="AL166"/>
      <c r="AM166"/>
      <c r="AN166"/>
      <c r="AO166"/>
      <c r="AP166"/>
      <c r="AQ166"/>
      <c r="AR166"/>
      <c r="AS166"/>
      <c r="AT166"/>
      <c r="AU166"/>
      <c r="AV166"/>
      <c r="AW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row>
    <row r="167" spans="1:87">
      <c r="A167"/>
      <c r="B167"/>
      <c r="C167"/>
      <c r="D167"/>
      <c r="E167" s="2" t="s">
        <v>1365</v>
      </c>
      <c r="F167"/>
      <c r="G167" s="88" t="s">
        <v>1398</v>
      </c>
      <c r="H167"/>
      <c r="J167"/>
      <c r="K167"/>
      <c r="L167"/>
      <c r="N167"/>
      <c r="O167"/>
      <c r="P167"/>
      <c r="Q167"/>
      <c r="S167"/>
      <c r="T167"/>
      <c r="U167"/>
      <c r="V167" s="88" t="s">
        <v>1398</v>
      </c>
      <c r="W167"/>
      <c r="X167"/>
      <c r="Y167"/>
      <c r="Z167"/>
      <c r="AB167"/>
      <c r="AC167"/>
      <c r="AD167"/>
      <c r="AE167"/>
      <c r="AF167"/>
      <c r="AG167"/>
      <c r="AH167"/>
      <c r="AI167"/>
      <c r="AJ167"/>
      <c r="AK167"/>
      <c r="AL167"/>
      <c r="AM167"/>
      <c r="AN167"/>
      <c r="AO167"/>
      <c r="AP167"/>
      <c r="AQ167"/>
      <c r="AR167"/>
      <c r="AS167"/>
      <c r="AT167"/>
      <c r="AU167"/>
      <c r="AV167"/>
      <c r="AW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row>
    <row r="168" spans="1:87">
      <c r="A168"/>
      <c r="B168"/>
      <c r="C168"/>
      <c r="D168"/>
      <c r="E168" s="2" t="s">
        <v>1366</v>
      </c>
      <c r="F168"/>
      <c r="G168" s="88" t="s">
        <v>2263</v>
      </c>
      <c r="H168"/>
      <c r="J168"/>
      <c r="K168"/>
      <c r="L168"/>
      <c r="M168" s="31"/>
      <c r="N168"/>
      <c r="O168"/>
      <c r="P168"/>
      <c r="Q168"/>
      <c r="S168"/>
      <c r="T168"/>
      <c r="U168"/>
      <c r="V168" s="88" t="s">
        <v>2263</v>
      </c>
      <c r="W168"/>
      <c r="X168"/>
      <c r="Y168"/>
      <c r="Z168"/>
      <c r="AB168"/>
      <c r="AC168"/>
      <c r="AD168"/>
      <c r="AE168"/>
      <c r="AF168"/>
      <c r="AG168"/>
      <c r="AH168"/>
      <c r="AI168"/>
      <c r="AJ168"/>
      <c r="AK168"/>
      <c r="AL168"/>
      <c r="AM168"/>
      <c r="AN168"/>
      <c r="AO168"/>
      <c r="AP168"/>
      <c r="AQ168"/>
      <c r="AR168"/>
      <c r="AS168"/>
      <c r="AT168"/>
      <c r="AU168"/>
      <c r="AV168"/>
      <c r="AW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row>
    <row r="169" spans="1:87">
      <c r="A169"/>
      <c r="B169"/>
      <c r="C169"/>
      <c r="D169"/>
      <c r="E169" s="2" t="s">
        <v>1367</v>
      </c>
      <c r="F169"/>
      <c r="G169" s="88" t="s">
        <v>2265</v>
      </c>
      <c r="H169"/>
      <c r="J169"/>
      <c r="K169"/>
      <c r="L169"/>
      <c r="M169" s="31"/>
      <c r="N169"/>
      <c r="O169"/>
      <c r="P169"/>
      <c r="Q169"/>
      <c r="S169"/>
      <c r="T169"/>
      <c r="U169"/>
      <c r="V169" s="88" t="s">
        <v>2265</v>
      </c>
      <c r="W169"/>
      <c r="X169"/>
      <c r="Y169"/>
      <c r="Z169"/>
      <c r="AB169"/>
      <c r="AC169"/>
      <c r="AD169"/>
      <c r="AE169"/>
      <c r="AF169"/>
      <c r="AG169"/>
      <c r="AH169"/>
      <c r="AI169"/>
      <c r="AJ169"/>
      <c r="AK169"/>
      <c r="AL169"/>
      <c r="AM169"/>
      <c r="AN169"/>
      <c r="AO169"/>
      <c r="AP169"/>
      <c r="AQ169"/>
      <c r="AR169"/>
      <c r="AS169"/>
      <c r="AT169"/>
      <c r="AU169"/>
      <c r="AV169"/>
      <c r="AW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row>
    <row r="170" spans="1:87">
      <c r="A170"/>
      <c r="B170"/>
      <c r="C170"/>
      <c r="D170"/>
      <c r="E170" s="2" t="s">
        <v>1368</v>
      </c>
      <c r="F170"/>
      <c r="G170" s="88" t="s">
        <v>1397</v>
      </c>
      <c r="H170"/>
      <c r="J170"/>
      <c r="K170"/>
      <c r="L170"/>
      <c r="M170" s="31"/>
      <c r="N170"/>
      <c r="O170"/>
      <c r="P170"/>
      <c r="Q170"/>
      <c r="S170"/>
      <c r="T170"/>
      <c r="U170"/>
      <c r="V170" s="88" t="s">
        <v>1397</v>
      </c>
      <c r="W170"/>
      <c r="X170"/>
      <c r="Y170"/>
      <c r="Z170"/>
      <c r="AB170"/>
      <c r="AC170"/>
      <c r="AD170"/>
      <c r="AE170"/>
      <c r="AF170"/>
      <c r="AG170"/>
      <c r="AH170"/>
      <c r="AI170"/>
      <c r="AJ170"/>
      <c r="AK170"/>
      <c r="AL170"/>
      <c r="AM170"/>
      <c r="AN170"/>
      <c r="AO170"/>
      <c r="AP170"/>
      <c r="AQ170"/>
      <c r="AR170"/>
      <c r="AS170"/>
      <c r="AT170"/>
      <c r="AU170"/>
      <c r="AV170"/>
      <c r="AW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row>
    <row r="171" spans="1:87">
      <c r="A171"/>
      <c r="B171"/>
      <c r="C171"/>
      <c r="D171"/>
      <c r="E171" s="2" t="s">
        <v>1369</v>
      </c>
      <c r="F171"/>
      <c r="G171" s="88" t="s">
        <v>2267</v>
      </c>
      <c r="H171"/>
      <c r="J171"/>
      <c r="K171"/>
      <c r="L171"/>
      <c r="M171" s="31"/>
      <c r="N171"/>
      <c r="O171"/>
      <c r="P171"/>
      <c r="Q171"/>
      <c r="S171"/>
      <c r="T171"/>
      <c r="U171"/>
      <c r="V171" s="88" t="s">
        <v>2267</v>
      </c>
      <c r="W171"/>
      <c r="X171"/>
      <c r="Y171"/>
      <c r="Z171"/>
      <c r="AB171"/>
      <c r="AC171"/>
      <c r="AD171"/>
      <c r="AE171"/>
      <c r="AF171"/>
      <c r="AG171"/>
      <c r="AH171"/>
      <c r="AI171"/>
      <c r="AJ171"/>
      <c r="AK171"/>
      <c r="AL171"/>
      <c r="AM171"/>
      <c r="AN171"/>
      <c r="AO171"/>
      <c r="AP171"/>
      <c r="AQ171"/>
      <c r="AR171"/>
      <c r="AS171"/>
      <c r="AT171"/>
      <c r="AU171"/>
      <c r="AV171"/>
      <c r="AW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row>
    <row r="172" spans="1:87">
      <c r="A172"/>
      <c r="B172"/>
      <c r="C172"/>
      <c r="D172"/>
      <c r="E172" s="39" t="s">
        <v>2309</v>
      </c>
      <c r="F172"/>
      <c r="G172" s="75" t="s">
        <v>2268</v>
      </c>
      <c r="H172"/>
      <c r="J172"/>
      <c r="K172"/>
      <c r="L172"/>
      <c r="M172" s="28"/>
      <c r="N172"/>
      <c r="O172"/>
      <c r="P172"/>
      <c r="Q172"/>
      <c r="S172"/>
      <c r="T172"/>
      <c r="U172"/>
      <c r="V172" s="75" t="s">
        <v>2268</v>
      </c>
      <c r="W172"/>
      <c r="X172"/>
      <c r="Y172"/>
      <c r="Z172"/>
      <c r="AB172"/>
      <c r="AC172"/>
      <c r="AD172"/>
      <c r="AE172"/>
      <c r="AF172"/>
      <c r="AG172"/>
      <c r="AH172"/>
      <c r="AI172"/>
      <c r="AJ172"/>
      <c r="AK172"/>
      <c r="AL172"/>
      <c r="AM172"/>
      <c r="AN172"/>
      <c r="AO172"/>
      <c r="AP172"/>
      <c r="AQ172"/>
      <c r="AR172"/>
      <c r="AS172"/>
      <c r="AT172"/>
      <c r="AU172"/>
      <c r="AV172"/>
      <c r="AW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row>
    <row r="173" spans="1:87">
      <c r="A173"/>
      <c r="B173"/>
      <c r="C173"/>
      <c r="D173"/>
      <c r="E173" s="2" t="s">
        <v>1370</v>
      </c>
      <c r="F173"/>
      <c r="G173" s="51" t="s">
        <v>1335</v>
      </c>
      <c r="H173"/>
      <c r="J173"/>
      <c r="K173"/>
      <c r="L173"/>
      <c r="M173" s="28"/>
      <c r="N173"/>
      <c r="O173"/>
      <c r="P173"/>
      <c r="Q173"/>
      <c r="S173"/>
      <c r="T173"/>
      <c r="U173"/>
      <c r="V173" s="51" t="s">
        <v>1335</v>
      </c>
      <c r="W173"/>
      <c r="X173"/>
      <c r="Y173"/>
      <c r="Z173"/>
      <c r="AB173"/>
      <c r="AC173"/>
      <c r="AD173"/>
      <c r="AE173"/>
      <c r="AF173"/>
      <c r="AG173"/>
      <c r="AH173"/>
      <c r="AI173"/>
      <c r="AJ173"/>
      <c r="AK173"/>
      <c r="AL173"/>
      <c r="AM173"/>
      <c r="AN173"/>
      <c r="AO173"/>
      <c r="AP173"/>
      <c r="AQ173"/>
      <c r="AR173"/>
      <c r="AS173"/>
      <c r="AT173"/>
      <c r="AU173"/>
      <c r="AV173"/>
      <c r="AW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row>
    <row r="174" spans="1:87">
      <c r="A174"/>
      <c r="B174"/>
      <c r="C174"/>
      <c r="D174"/>
      <c r="E174" s="39"/>
      <c r="F174"/>
      <c r="G174" s="51" t="s">
        <v>2272</v>
      </c>
      <c r="H174"/>
      <c r="J174"/>
      <c r="K174"/>
      <c r="L174"/>
      <c r="N174"/>
      <c r="O174"/>
      <c r="P174"/>
      <c r="Q174"/>
      <c r="S174"/>
      <c r="T174"/>
      <c r="U174"/>
      <c r="V174" s="51" t="s">
        <v>2272</v>
      </c>
      <c r="W174"/>
      <c r="X174"/>
      <c r="Y174"/>
      <c r="Z174"/>
      <c r="AB174"/>
      <c r="AC174"/>
      <c r="AD174"/>
      <c r="AE174"/>
      <c r="AF174"/>
      <c r="AG174"/>
      <c r="AH174"/>
      <c r="AI174"/>
      <c r="AJ174"/>
      <c r="AK174"/>
      <c r="AL174"/>
      <c r="AM174"/>
      <c r="AN174"/>
      <c r="AO174"/>
      <c r="AP174"/>
      <c r="AQ174"/>
      <c r="AR174"/>
      <c r="AS174"/>
      <c r="AT174"/>
      <c r="AU174"/>
      <c r="AV174"/>
      <c r="AW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row>
    <row r="175" spans="1:87">
      <c r="A175"/>
      <c r="B175"/>
      <c r="C175"/>
      <c r="D175"/>
      <c r="E175" s="39"/>
      <c r="F175"/>
      <c r="G175" s="51" t="s">
        <v>2273</v>
      </c>
      <c r="H175"/>
      <c r="J175"/>
      <c r="K175"/>
      <c r="L175"/>
      <c r="N175"/>
      <c r="O175"/>
      <c r="P175"/>
      <c r="Q175"/>
      <c r="S175"/>
      <c r="T175"/>
      <c r="U175"/>
      <c r="V175" s="51" t="s">
        <v>2273</v>
      </c>
      <c r="W175"/>
      <c r="X175"/>
      <c r="Y175"/>
      <c r="Z175"/>
      <c r="AB175"/>
      <c r="AC175"/>
      <c r="AD175"/>
      <c r="AE175"/>
      <c r="AF175"/>
      <c r="AG175"/>
      <c r="AH175"/>
      <c r="AI175"/>
      <c r="AJ175"/>
      <c r="AK175"/>
      <c r="AL175"/>
      <c r="AM175"/>
      <c r="AN175"/>
      <c r="AO175"/>
      <c r="AP175"/>
      <c r="AQ175"/>
      <c r="AR175"/>
      <c r="AS175"/>
      <c r="AT175"/>
      <c r="AU175"/>
      <c r="AV175"/>
      <c r="AW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row>
    <row r="176" spans="1:87">
      <c r="A176"/>
      <c r="B176"/>
      <c r="C176"/>
      <c r="D176"/>
      <c r="E176" s="39"/>
      <c r="F176"/>
      <c r="G176" s="51" t="s">
        <v>2276</v>
      </c>
      <c r="H176"/>
      <c r="J176"/>
      <c r="K176"/>
      <c r="L176"/>
      <c r="N176"/>
      <c r="O176"/>
      <c r="P176"/>
      <c r="Q176"/>
      <c r="S176"/>
      <c r="T176"/>
      <c r="U176"/>
      <c r="V176" s="51" t="s">
        <v>2276</v>
      </c>
      <c r="W176"/>
      <c r="X176"/>
      <c r="Y176"/>
      <c r="Z176"/>
      <c r="AB176"/>
      <c r="AC176"/>
      <c r="AD176"/>
      <c r="AE176"/>
      <c r="AF176"/>
      <c r="AG176"/>
      <c r="AH176"/>
      <c r="AI176"/>
      <c r="AJ176"/>
      <c r="AK176"/>
      <c r="AL176"/>
      <c r="AM176"/>
      <c r="AN176"/>
      <c r="AO176"/>
      <c r="AP176"/>
      <c r="AQ176"/>
      <c r="AR176"/>
      <c r="AS176"/>
      <c r="AT176"/>
      <c r="AU176"/>
      <c r="AV176"/>
      <c r="AW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row>
    <row r="177" spans="1:87">
      <c r="A177"/>
      <c r="B177"/>
      <c r="C177"/>
      <c r="D177"/>
      <c r="F177"/>
      <c r="G177" s="51" t="s">
        <v>2278</v>
      </c>
      <c r="H177"/>
      <c r="J177"/>
      <c r="K177"/>
      <c r="L177"/>
      <c r="M177" s="31"/>
      <c r="N177"/>
      <c r="O177"/>
      <c r="P177"/>
      <c r="Q177"/>
      <c r="S177"/>
      <c r="T177"/>
      <c r="U177"/>
      <c r="V177" s="51" t="s">
        <v>2278</v>
      </c>
      <c r="W177"/>
      <c r="X177"/>
      <c r="Y177"/>
      <c r="Z177"/>
      <c r="AB177"/>
      <c r="AC177"/>
      <c r="AD177"/>
      <c r="AE177"/>
      <c r="AF177"/>
      <c r="AG177"/>
      <c r="AH177"/>
      <c r="AI177"/>
      <c r="AJ177"/>
      <c r="AK177"/>
      <c r="AL177"/>
      <c r="AM177"/>
      <c r="AN177"/>
      <c r="AO177"/>
      <c r="AP177"/>
      <c r="AQ177"/>
      <c r="AR177"/>
      <c r="AS177"/>
      <c r="AT177"/>
      <c r="AU177"/>
      <c r="AV177"/>
      <c r="AW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row>
    <row r="178" spans="1:87">
      <c r="A178"/>
      <c r="B178"/>
      <c r="C178"/>
      <c r="D178"/>
      <c r="E178" s="42"/>
      <c r="F178"/>
      <c r="G178" s="51" t="s">
        <v>2280</v>
      </c>
      <c r="H178"/>
      <c r="J178"/>
      <c r="K178"/>
      <c r="L178"/>
      <c r="M178" s="28"/>
      <c r="N178"/>
      <c r="O178"/>
      <c r="P178"/>
      <c r="Q178"/>
      <c r="S178"/>
      <c r="T178"/>
      <c r="U178"/>
      <c r="V178" s="51" t="s">
        <v>2280</v>
      </c>
      <c r="W178"/>
      <c r="X178"/>
      <c r="Y178"/>
      <c r="Z178"/>
      <c r="AB178"/>
      <c r="AC178"/>
      <c r="AD178"/>
      <c r="AE178"/>
      <c r="AF178"/>
      <c r="AG178"/>
      <c r="AH178"/>
      <c r="AI178"/>
      <c r="AJ178"/>
      <c r="AK178"/>
      <c r="AL178"/>
      <c r="AM178"/>
      <c r="AN178"/>
      <c r="AO178"/>
      <c r="AP178"/>
      <c r="AQ178"/>
      <c r="AR178"/>
      <c r="AS178"/>
      <c r="AT178"/>
      <c r="AU178"/>
      <c r="AV178"/>
      <c r="AW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row>
    <row r="179" spans="1:87">
      <c r="A179"/>
      <c r="B179"/>
      <c r="C179"/>
      <c r="D179"/>
      <c r="E179" s="39"/>
      <c r="F179"/>
      <c r="G179" s="51" t="s">
        <v>2283</v>
      </c>
      <c r="H179"/>
      <c r="J179"/>
      <c r="K179"/>
      <c r="L179"/>
      <c r="N179"/>
      <c r="O179"/>
      <c r="P179"/>
      <c r="Q179"/>
      <c r="S179"/>
      <c r="T179"/>
      <c r="U179"/>
      <c r="V179" s="51" t="s">
        <v>2283</v>
      </c>
      <c r="W179"/>
      <c r="X179"/>
      <c r="Y179"/>
      <c r="Z179"/>
      <c r="AB179"/>
      <c r="AC179"/>
      <c r="AD179"/>
      <c r="AE179"/>
      <c r="AF179"/>
      <c r="AG179"/>
      <c r="AH179"/>
      <c r="AI179"/>
      <c r="AJ179"/>
      <c r="AK179"/>
      <c r="AL179"/>
      <c r="AM179"/>
      <c r="AN179"/>
      <c r="AO179"/>
      <c r="AP179"/>
      <c r="AQ179"/>
      <c r="AR179"/>
      <c r="AS179"/>
      <c r="AT179"/>
      <c r="AU179"/>
      <c r="AV179"/>
      <c r="AW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row>
    <row r="180" spans="1:87">
      <c r="A180"/>
      <c r="B180"/>
      <c r="C180"/>
      <c r="D180"/>
      <c r="E180" s="39"/>
      <c r="F180"/>
      <c r="G180" s="51" t="s">
        <v>2291</v>
      </c>
      <c r="H180"/>
      <c r="J180"/>
      <c r="K180"/>
      <c r="L180"/>
      <c r="M180" s="28"/>
      <c r="N180"/>
      <c r="O180"/>
      <c r="P180"/>
      <c r="Q180"/>
      <c r="S180"/>
      <c r="T180"/>
      <c r="U180"/>
      <c r="V180" s="51" t="s">
        <v>2291</v>
      </c>
      <c r="W180"/>
      <c r="X180"/>
      <c r="Y180"/>
      <c r="Z180"/>
      <c r="AB180"/>
      <c r="AC180"/>
      <c r="AD180"/>
      <c r="AE180"/>
      <c r="AF180"/>
      <c r="AG180"/>
      <c r="AH180"/>
      <c r="AI180"/>
      <c r="AJ180"/>
      <c r="AK180"/>
      <c r="AL180"/>
      <c r="AM180"/>
      <c r="AN180"/>
      <c r="AO180"/>
      <c r="AP180"/>
      <c r="AQ180"/>
      <c r="AR180"/>
      <c r="AS180"/>
      <c r="AT180"/>
      <c r="AU180"/>
      <c r="AV180"/>
      <c r="AW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row>
    <row r="181" spans="1:87">
      <c r="A181"/>
      <c r="B181"/>
      <c r="C181"/>
      <c r="D181"/>
      <c r="E181" s="39"/>
      <c r="F181"/>
      <c r="G181" s="51" t="s">
        <v>1342</v>
      </c>
      <c r="H181"/>
      <c r="J181"/>
      <c r="K181"/>
      <c r="L181"/>
      <c r="M181" s="28"/>
      <c r="N181"/>
      <c r="O181"/>
      <c r="P181"/>
      <c r="Q181"/>
      <c r="S181"/>
      <c r="T181"/>
      <c r="U181"/>
      <c r="V181" s="51" t="s">
        <v>1342</v>
      </c>
      <c r="W181"/>
      <c r="X181"/>
      <c r="Y181"/>
      <c r="Z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row>
    <row r="182" spans="1:87">
      <c r="A182"/>
      <c r="B182"/>
      <c r="C182"/>
      <c r="D182"/>
      <c r="E182"/>
      <c r="F182"/>
      <c r="G182" s="51" t="s">
        <v>1344</v>
      </c>
      <c r="H182"/>
      <c r="J182"/>
      <c r="K182"/>
      <c r="L182"/>
      <c r="M182" s="31"/>
      <c r="N182"/>
      <c r="O182"/>
      <c r="P182"/>
      <c r="Q182"/>
      <c r="S182"/>
      <c r="T182"/>
      <c r="U182"/>
      <c r="V182" s="51" t="s">
        <v>1344</v>
      </c>
      <c r="W182"/>
      <c r="X182"/>
      <c r="Y182"/>
      <c r="Z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row>
    <row r="183" spans="1:87">
      <c r="A183"/>
      <c r="B183"/>
      <c r="C183"/>
      <c r="D183"/>
      <c r="E183"/>
      <c r="F183"/>
      <c r="G183" s="91" t="s">
        <v>1796</v>
      </c>
      <c r="H183"/>
      <c r="J183"/>
      <c r="K183"/>
      <c r="L183"/>
      <c r="M183" s="28"/>
      <c r="N183"/>
      <c r="O183"/>
      <c r="P183"/>
      <c r="Q183"/>
      <c r="S183"/>
      <c r="T183"/>
      <c r="U183"/>
      <c r="V183" s="91" t="s">
        <v>1796</v>
      </c>
      <c r="W183"/>
      <c r="X183"/>
      <c r="Y183"/>
      <c r="Z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row>
    <row r="184" spans="1:87">
      <c r="A184"/>
      <c r="B184"/>
      <c r="C184"/>
      <c r="D184"/>
      <c r="E184"/>
      <c r="F184"/>
      <c r="G184" s="91" t="s">
        <v>1798</v>
      </c>
      <c r="H184"/>
      <c r="J184"/>
      <c r="K184"/>
      <c r="L184"/>
      <c r="M184" s="28"/>
      <c r="N184"/>
      <c r="O184"/>
      <c r="P184"/>
      <c r="Q184"/>
      <c r="S184"/>
      <c r="T184"/>
      <c r="U184"/>
      <c r="V184" s="91" t="s">
        <v>1798</v>
      </c>
      <c r="W184"/>
      <c r="X184"/>
      <c r="Y184"/>
      <c r="Z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row>
    <row r="185" spans="1:87">
      <c r="A185"/>
      <c r="B185"/>
      <c r="C185"/>
      <c r="D185"/>
      <c r="E185"/>
      <c r="F185"/>
      <c r="G185" s="91" t="s">
        <v>2295</v>
      </c>
      <c r="H185"/>
      <c r="J185"/>
      <c r="K185"/>
      <c r="L185"/>
      <c r="N185"/>
      <c r="O185"/>
      <c r="P185"/>
      <c r="Q185"/>
      <c r="S185"/>
      <c r="T185"/>
      <c r="U185"/>
      <c r="V185" s="91" t="s">
        <v>2295</v>
      </c>
      <c r="W185"/>
      <c r="X185"/>
      <c r="Y185"/>
      <c r="Z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row>
    <row r="186" spans="1:87">
      <c r="A186"/>
      <c r="B186"/>
      <c r="C186"/>
      <c r="D186"/>
      <c r="E186"/>
      <c r="F186"/>
      <c r="G186" s="51" t="s">
        <v>2297</v>
      </c>
      <c r="H186"/>
      <c r="J186"/>
      <c r="K186"/>
      <c r="L186"/>
      <c r="N186"/>
      <c r="O186"/>
      <c r="P186"/>
      <c r="Q186"/>
      <c r="S186"/>
      <c r="T186"/>
      <c r="U186"/>
      <c r="V186" s="51" t="s">
        <v>2297</v>
      </c>
      <c r="W186"/>
      <c r="X186"/>
      <c r="Y186"/>
      <c r="Z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row>
    <row r="187" spans="1:87">
      <c r="A187"/>
      <c r="B187"/>
      <c r="C187"/>
      <c r="D187"/>
      <c r="E187"/>
      <c r="F187"/>
      <c r="G187" s="51" t="s">
        <v>1346</v>
      </c>
      <c r="H187"/>
      <c r="J187"/>
      <c r="K187"/>
      <c r="L187"/>
      <c r="N187"/>
      <c r="O187"/>
      <c r="P187"/>
      <c r="Q187"/>
      <c r="S187"/>
      <c r="T187"/>
      <c r="U187"/>
      <c r="V187" s="51" t="s">
        <v>1346</v>
      </c>
      <c r="W187"/>
      <c r="X187"/>
      <c r="Y187"/>
      <c r="Z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row>
    <row r="188" spans="1:87">
      <c r="A188"/>
      <c r="B188"/>
      <c r="C188"/>
      <c r="D188"/>
      <c r="E188"/>
      <c r="F188"/>
      <c r="G188" s="92" t="s">
        <v>1799</v>
      </c>
      <c r="H188"/>
      <c r="J188"/>
      <c r="K188"/>
      <c r="L188"/>
      <c r="M188" s="28"/>
      <c r="N188"/>
      <c r="O188"/>
      <c r="P188"/>
      <c r="Q188"/>
      <c r="S188"/>
      <c r="T188"/>
      <c r="U188"/>
      <c r="V188" s="92" t="s">
        <v>1799</v>
      </c>
      <c r="W188"/>
      <c r="X188"/>
      <c r="Y188"/>
      <c r="Z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row>
    <row r="189" spans="1:87">
      <c r="A189"/>
      <c r="B189"/>
      <c r="C189"/>
      <c r="D189"/>
      <c r="E189"/>
      <c r="F189"/>
      <c r="G189" s="92" t="s">
        <v>2298</v>
      </c>
      <c r="H189"/>
      <c r="J189"/>
      <c r="K189"/>
      <c r="L189"/>
      <c r="N189"/>
      <c r="O189"/>
      <c r="P189"/>
      <c r="Q189"/>
      <c r="S189"/>
      <c r="T189"/>
      <c r="U189"/>
      <c r="V189" s="92" t="s">
        <v>2298</v>
      </c>
      <c r="W189"/>
      <c r="X189"/>
      <c r="Y189"/>
      <c r="Z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row>
    <row r="190" spans="1:87">
      <c r="A190"/>
      <c r="B190"/>
      <c r="C190"/>
      <c r="D190"/>
      <c r="E190"/>
      <c r="F190"/>
      <c r="G190" s="92" t="s">
        <v>2299</v>
      </c>
      <c r="H190"/>
      <c r="J190"/>
      <c r="K190"/>
      <c r="L190"/>
      <c r="N190"/>
      <c r="O190"/>
      <c r="P190"/>
      <c r="Q190"/>
      <c r="S190"/>
      <c r="T190"/>
      <c r="U190"/>
      <c r="V190" s="92" t="s">
        <v>2299</v>
      </c>
      <c r="W190"/>
      <c r="X190"/>
      <c r="Y190"/>
      <c r="Z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row>
    <row r="191" spans="1:87">
      <c r="A191"/>
      <c r="B191"/>
      <c r="C191"/>
      <c r="D191"/>
      <c r="E191"/>
      <c r="F191"/>
      <c r="G191" s="51" t="s">
        <v>2300</v>
      </c>
      <c r="H191"/>
      <c r="J191"/>
      <c r="K191"/>
      <c r="L191"/>
      <c r="N191"/>
      <c r="O191"/>
      <c r="P191"/>
      <c r="Q191"/>
      <c r="S191"/>
      <c r="T191"/>
      <c r="U191"/>
      <c r="V191" s="51" t="s">
        <v>2300</v>
      </c>
      <c r="W191"/>
      <c r="X191"/>
      <c r="Y191"/>
      <c r="Z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row>
    <row r="192" spans="1:87">
      <c r="A192"/>
      <c r="B192"/>
      <c r="C192"/>
      <c r="D192"/>
      <c r="E192"/>
      <c r="F192"/>
      <c r="G192" s="51" t="s">
        <v>2301</v>
      </c>
      <c r="H192"/>
      <c r="J192"/>
      <c r="K192"/>
      <c r="L192"/>
      <c r="N192"/>
      <c r="O192"/>
      <c r="P192"/>
      <c r="Q192"/>
      <c r="S192"/>
      <c r="T192"/>
      <c r="U192"/>
      <c r="V192" s="51" t="s">
        <v>2301</v>
      </c>
      <c r="W192"/>
      <c r="X192"/>
      <c r="Y192"/>
      <c r="Z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row>
    <row r="193" spans="1:87">
      <c r="A193"/>
      <c r="B193"/>
      <c r="C193"/>
      <c r="D193"/>
      <c r="E193"/>
      <c r="F193"/>
      <c r="G193" s="51" t="s">
        <v>1348</v>
      </c>
      <c r="H193"/>
      <c r="J193"/>
      <c r="K193"/>
      <c r="L193"/>
      <c r="N193"/>
      <c r="O193"/>
      <c r="P193"/>
      <c r="Q193"/>
      <c r="S193"/>
      <c r="T193"/>
      <c r="U193"/>
      <c r="V193" s="51" t="s">
        <v>1348</v>
      </c>
      <c r="W193"/>
      <c r="X193"/>
      <c r="Y193"/>
      <c r="Z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row>
    <row r="194" spans="1:87">
      <c r="A194"/>
      <c r="B194"/>
      <c r="C194"/>
      <c r="D194"/>
      <c r="E194"/>
      <c r="F194"/>
      <c r="G194" s="92" t="s">
        <v>2302</v>
      </c>
      <c r="H194"/>
      <c r="J194"/>
      <c r="K194"/>
      <c r="L194"/>
      <c r="N194"/>
      <c r="O194"/>
      <c r="P194"/>
      <c r="Q194"/>
      <c r="S194"/>
      <c r="T194"/>
      <c r="U194"/>
      <c r="V194" s="92" t="s">
        <v>2302</v>
      </c>
      <c r="W194"/>
      <c r="X194"/>
      <c r="Y194"/>
      <c r="Z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row>
    <row r="195" spans="1:87">
      <c r="A195"/>
      <c r="B195"/>
      <c r="C195"/>
      <c r="D195"/>
      <c r="E195"/>
      <c r="F195"/>
      <c r="G195" s="92" t="s">
        <v>2303</v>
      </c>
      <c r="H195"/>
      <c r="J195"/>
      <c r="K195"/>
      <c r="L195"/>
      <c r="N195"/>
      <c r="O195"/>
      <c r="P195"/>
      <c r="Q195"/>
      <c r="S195"/>
      <c r="T195"/>
      <c r="U195"/>
      <c r="V195" s="92" t="s">
        <v>2303</v>
      </c>
      <c r="W195"/>
      <c r="X195"/>
      <c r="Y195"/>
      <c r="Z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row>
    <row r="196" spans="1:87">
      <c r="A196"/>
      <c r="B196"/>
      <c r="C196"/>
      <c r="D196"/>
      <c r="E196"/>
      <c r="F196"/>
      <c r="G196" s="51" t="s">
        <v>2304</v>
      </c>
      <c r="H196"/>
      <c r="J196"/>
      <c r="K196"/>
      <c r="L196"/>
      <c r="N196"/>
      <c r="O196"/>
      <c r="P196"/>
      <c r="Q196"/>
      <c r="S196"/>
      <c r="T196"/>
      <c r="U196"/>
      <c r="V196" s="51" t="s">
        <v>2304</v>
      </c>
      <c r="W196"/>
      <c r="X196"/>
      <c r="Y196"/>
      <c r="Z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row>
    <row r="197" spans="1:87">
      <c r="A197"/>
      <c r="B197"/>
      <c r="C197"/>
      <c r="D197"/>
      <c r="E197"/>
      <c r="F197"/>
      <c r="G197" s="51" t="s">
        <v>2306</v>
      </c>
      <c r="H197"/>
      <c r="J197"/>
      <c r="K197"/>
      <c r="L197"/>
      <c r="N197"/>
      <c r="O197"/>
      <c r="P197"/>
      <c r="Q197"/>
      <c r="S197"/>
      <c r="T197"/>
      <c r="U197"/>
      <c r="V197" s="51" t="s">
        <v>2306</v>
      </c>
      <c r="W197"/>
      <c r="X197"/>
      <c r="Y197"/>
      <c r="Z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row>
    <row r="198" spans="1:87">
      <c r="A198"/>
      <c r="B198"/>
      <c r="C198"/>
      <c r="D198"/>
      <c r="E198"/>
      <c r="F198"/>
      <c r="G198" s="92" t="s">
        <v>2307</v>
      </c>
      <c r="H198"/>
      <c r="J198"/>
      <c r="K198"/>
      <c r="L198"/>
      <c r="N198"/>
      <c r="O198"/>
      <c r="P198"/>
      <c r="Q198"/>
      <c r="S198"/>
      <c r="T198"/>
      <c r="U198"/>
      <c r="V198" s="92" t="s">
        <v>2307</v>
      </c>
      <c r="W198"/>
      <c r="X198"/>
      <c r="Y198"/>
      <c r="Z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row>
    <row r="199" spans="1:87">
      <c r="A199"/>
      <c r="B199"/>
      <c r="C199"/>
      <c r="D199"/>
      <c r="E199"/>
      <c r="F199"/>
      <c r="G199"/>
      <c r="H199"/>
      <c r="J199"/>
      <c r="K199"/>
      <c r="L199"/>
      <c r="N199"/>
      <c r="O199"/>
      <c r="P199"/>
      <c r="Q199"/>
      <c r="S199"/>
      <c r="T199"/>
      <c r="U199"/>
      <c r="V199"/>
      <c r="W199"/>
      <c r="X199"/>
      <c r="Y199"/>
      <c r="Z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row>
    <row r="200" spans="1:87">
      <c r="A200"/>
      <c r="B200"/>
      <c r="C200"/>
      <c r="D200"/>
      <c r="E200"/>
      <c r="F200"/>
      <c r="G200"/>
      <c r="H200"/>
      <c r="J200"/>
      <c r="K200"/>
      <c r="L200"/>
      <c r="N200"/>
      <c r="O200"/>
      <c r="P200"/>
      <c r="Q200"/>
      <c r="R200"/>
      <c r="S200"/>
      <c r="T200"/>
      <c r="U200"/>
      <c r="V200"/>
      <c r="W200"/>
      <c r="X200"/>
      <c r="Y200"/>
      <c r="Z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row>
    <row r="201" spans="1:87">
      <c r="A201"/>
      <c r="B201"/>
      <c r="C201"/>
      <c r="D201"/>
      <c r="E201"/>
      <c r="F201"/>
      <c r="G201"/>
      <c r="H201"/>
      <c r="J201"/>
      <c r="K201"/>
      <c r="L201"/>
      <c r="N201"/>
      <c r="O201"/>
      <c r="P201"/>
      <c r="Q201"/>
      <c r="R201"/>
      <c r="S201"/>
      <c r="T201"/>
      <c r="U201"/>
      <c r="V201"/>
      <c r="W201"/>
      <c r="X201"/>
      <c r="Y201"/>
      <c r="Z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row>
    <row r="202" spans="1:87">
      <c r="A202"/>
      <c r="B202"/>
      <c r="C202"/>
      <c r="D202"/>
      <c r="E202"/>
      <c r="F202"/>
      <c r="G202"/>
      <c r="H202"/>
      <c r="J202"/>
      <c r="K202"/>
      <c r="L202"/>
      <c r="N202"/>
      <c r="O202"/>
      <c r="P202"/>
      <c r="Q202"/>
      <c r="R202"/>
      <c r="S202"/>
      <c r="T202"/>
      <c r="U202"/>
      <c r="V202"/>
      <c r="W202"/>
      <c r="X202"/>
      <c r="Y202"/>
      <c r="Z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row>
    <row r="203" spans="1:87">
      <c r="A203"/>
      <c r="B203"/>
      <c r="C203"/>
      <c r="D203"/>
      <c r="E203"/>
      <c r="F203"/>
      <c r="G203"/>
      <c r="H203"/>
      <c r="J203"/>
      <c r="K203"/>
      <c r="L203"/>
      <c r="N203"/>
      <c r="O203"/>
      <c r="P203"/>
      <c r="Q203"/>
      <c r="R203"/>
      <c r="S203"/>
      <c r="T203"/>
      <c r="U203"/>
      <c r="V203"/>
      <c r="W203"/>
      <c r="X203"/>
      <c r="Y203"/>
      <c r="Z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row>
    <row r="204" spans="1:87">
      <c r="A204"/>
      <c r="B204"/>
      <c r="C204"/>
      <c r="D204"/>
      <c r="E204"/>
      <c r="F204"/>
      <c r="G204"/>
      <c r="H204"/>
      <c r="J204"/>
      <c r="K204"/>
      <c r="L204"/>
      <c r="N204"/>
      <c r="O204"/>
      <c r="P204"/>
      <c r="Q204"/>
      <c r="R204"/>
      <c r="S204"/>
      <c r="T204"/>
      <c r="U204"/>
      <c r="V204"/>
      <c r="W204"/>
      <c r="X204"/>
      <c r="Y204"/>
      <c r="Z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row>
    <row r="205" spans="1:87">
      <c r="A205"/>
      <c r="B205"/>
      <c r="C205"/>
      <c r="D205"/>
      <c r="E205"/>
      <c r="F205"/>
      <c r="G205"/>
      <c r="H205"/>
      <c r="J205"/>
      <c r="K205"/>
      <c r="L205"/>
      <c r="N205"/>
      <c r="O205"/>
      <c r="P205"/>
      <c r="Q205"/>
      <c r="R205"/>
      <c r="S205"/>
      <c r="T205"/>
      <c r="U205"/>
      <c r="V205"/>
      <c r="W205"/>
      <c r="X205"/>
      <c r="Y205"/>
      <c r="Z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row>
    <row r="206" spans="1:87">
      <c r="A206"/>
      <c r="B206"/>
      <c r="C206"/>
      <c r="D206"/>
      <c r="E206"/>
      <c r="F206"/>
      <c r="G206"/>
      <c r="H206"/>
      <c r="J206"/>
      <c r="K206"/>
      <c r="L206"/>
      <c r="M206"/>
      <c r="N206"/>
      <c r="O206"/>
      <c r="P206"/>
      <c r="Q206"/>
      <c r="R206"/>
      <c r="S206"/>
      <c r="T206"/>
      <c r="U206"/>
      <c r="V206"/>
      <c r="W206"/>
      <c r="X206"/>
      <c r="Y206"/>
      <c r="Z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row>
    <row r="207" spans="1:87">
      <c r="A207"/>
      <c r="B207"/>
      <c r="C207"/>
      <c r="D207"/>
      <c r="E207"/>
      <c r="F207"/>
      <c r="G207"/>
      <c r="H207"/>
      <c r="J207"/>
      <c r="K207"/>
      <c r="L207"/>
      <c r="M207"/>
      <c r="N207"/>
      <c r="O207"/>
      <c r="P207"/>
      <c r="Q207"/>
      <c r="R207"/>
      <c r="S207"/>
      <c r="T207"/>
      <c r="U207"/>
      <c r="V207"/>
      <c r="W207"/>
      <c r="X207"/>
      <c r="Y207"/>
      <c r="Z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row>
    <row r="208" spans="1:87">
      <c r="A208"/>
      <c r="B208"/>
      <c r="C208"/>
      <c r="D208"/>
      <c r="E208"/>
      <c r="F208"/>
      <c r="G208"/>
      <c r="H208"/>
      <c r="J208"/>
      <c r="K208"/>
      <c r="L208"/>
      <c r="M208"/>
      <c r="N208"/>
      <c r="O208"/>
      <c r="P208"/>
      <c r="Q208"/>
      <c r="R208"/>
      <c r="S208"/>
      <c r="T208"/>
      <c r="U208"/>
      <c r="V208"/>
      <c r="W208"/>
      <c r="X208"/>
      <c r="Y208"/>
      <c r="Z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row>
    <row r="209" spans="1:87">
      <c r="A209"/>
      <c r="B209"/>
      <c r="C209"/>
      <c r="D209"/>
      <c r="E209"/>
      <c r="F209"/>
      <c r="G209"/>
      <c r="H209"/>
      <c r="J209"/>
      <c r="K209"/>
      <c r="L209"/>
      <c r="M209"/>
      <c r="N209"/>
      <c r="O209"/>
      <c r="P209"/>
      <c r="Q209"/>
      <c r="R209"/>
      <c r="S209"/>
      <c r="T209"/>
      <c r="U209"/>
      <c r="V209"/>
      <c r="W209"/>
      <c r="X209"/>
      <c r="Y209"/>
      <c r="Z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row>
    <row r="210" spans="1:87">
      <c r="A210"/>
      <c r="B210"/>
      <c r="C210"/>
      <c r="D210"/>
      <c r="E210"/>
      <c r="F210"/>
      <c r="G210"/>
      <c r="H210"/>
      <c r="J210"/>
      <c r="K210"/>
      <c r="L210"/>
      <c r="M210"/>
      <c r="N210"/>
      <c r="O210"/>
      <c r="P210"/>
      <c r="Q210"/>
      <c r="R210"/>
      <c r="S210"/>
      <c r="T210"/>
      <c r="U210"/>
      <c r="V210"/>
      <c r="W210"/>
      <c r="X210"/>
      <c r="Y210"/>
      <c r="Z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row>
    <row r="211" spans="1:87">
      <c r="A211"/>
      <c r="B211"/>
      <c r="C211"/>
      <c r="D211"/>
      <c r="E211"/>
      <c r="F211"/>
      <c r="G211"/>
      <c r="H211"/>
      <c r="J211"/>
      <c r="K211"/>
      <c r="L211"/>
      <c r="M211"/>
      <c r="N211"/>
      <c r="O211"/>
      <c r="P211"/>
      <c r="Q211"/>
      <c r="R211"/>
      <c r="S211"/>
      <c r="T211"/>
      <c r="U211"/>
      <c r="V211"/>
      <c r="W211"/>
      <c r="X211"/>
      <c r="Y211"/>
      <c r="Z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row>
    <row r="212" spans="1:87">
      <c r="A212"/>
      <c r="B212"/>
      <c r="C212"/>
      <c r="D212"/>
      <c r="E212"/>
      <c r="F212"/>
      <c r="G212"/>
      <c r="H212"/>
      <c r="J212"/>
      <c r="K212"/>
      <c r="L212"/>
      <c r="M212"/>
      <c r="N212"/>
      <c r="O212"/>
      <c r="P212"/>
      <c r="Q212"/>
      <c r="R212"/>
      <c r="S212"/>
      <c r="T212"/>
      <c r="U212"/>
      <c r="V212"/>
      <c r="W212"/>
      <c r="X212"/>
      <c r="Y212"/>
      <c r="Z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row>
    <row r="213" spans="1:87">
      <c r="A213"/>
      <c r="B213"/>
      <c r="C213"/>
      <c r="D213"/>
      <c r="E213"/>
      <c r="F213"/>
      <c r="G213"/>
      <c r="H213"/>
      <c r="J213"/>
      <c r="K213"/>
      <c r="L213"/>
      <c r="M213"/>
      <c r="N213"/>
      <c r="O213"/>
      <c r="P213"/>
      <c r="Q213"/>
      <c r="R213"/>
      <c r="S213"/>
      <c r="T213"/>
      <c r="U213"/>
      <c r="V213"/>
      <c r="W213"/>
      <c r="X213"/>
      <c r="Y213"/>
      <c r="Z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row>
    <row r="214" spans="1:87">
      <c r="A214"/>
      <c r="B214"/>
      <c r="C214"/>
      <c r="D214"/>
      <c r="E214"/>
      <c r="F214"/>
      <c r="G214"/>
      <c r="H214"/>
      <c r="J214"/>
      <c r="K214"/>
      <c r="L214"/>
      <c r="M214"/>
      <c r="N214"/>
      <c r="O214"/>
      <c r="P214"/>
      <c r="Q214"/>
      <c r="R214"/>
      <c r="S214"/>
      <c r="T214"/>
      <c r="U214"/>
      <c r="V214"/>
      <c r="W214"/>
      <c r="X214"/>
      <c r="Y214"/>
      <c r="Z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row>
    <row r="215" spans="1:87">
      <c r="A215"/>
      <c r="B215"/>
      <c r="C215"/>
      <c r="D215"/>
      <c r="E215"/>
      <c r="F215"/>
      <c r="G215"/>
      <c r="H215"/>
      <c r="J215"/>
      <c r="K215"/>
      <c r="L215"/>
      <c r="M215"/>
      <c r="N215"/>
      <c r="O215"/>
      <c r="P215"/>
      <c r="Q215"/>
      <c r="R215"/>
      <c r="S215"/>
      <c r="T215"/>
      <c r="U215"/>
      <c r="V215"/>
      <c r="W215"/>
      <c r="X215"/>
      <c r="Y215"/>
      <c r="Z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row>
    <row r="216" spans="1:87">
      <c r="A216"/>
      <c r="B216"/>
      <c r="C216"/>
      <c r="D216"/>
      <c r="E216"/>
      <c r="F216"/>
      <c r="G216"/>
      <c r="H216"/>
      <c r="J216"/>
      <c r="K216"/>
      <c r="L216"/>
      <c r="M216"/>
      <c r="N216"/>
      <c r="O216"/>
      <c r="P216"/>
      <c r="Q216"/>
      <c r="R216"/>
      <c r="S216"/>
      <c r="T216"/>
      <c r="U216"/>
      <c r="V216"/>
      <c r="W216"/>
      <c r="X216"/>
      <c r="Y216"/>
      <c r="Z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row>
    <row r="217" spans="1:87">
      <c r="A217"/>
      <c r="B217"/>
      <c r="C217"/>
      <c r="D217"/>
      <c r="E217"/>
      <c r="F217"/>
      <c r="G217"/>
      <c r="H217"/>
      <c r="J217"/>
      <c r="K217"/>
      <c r="L217"/>
      <c r="M217"/>
      <c r="N217"/>
      <c r="O217"/>
      <c r="P217"/>
      <c r="Q217"/>
      <c r="R217"/>
      <c r="S217"/>
      <c r="T217"/>
      <c r="U217"/>
      <c r="V217"/>
      <c r="W217"/>
      <c r="X217"/>
      <c r="Y217"/>
      <c r="Z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row>
    <row r="218" spans="1:87">
      <c r="A218"/>
      <c r="B218"/>
      <c r="C218"/>
      <c r="D218"/>
      <c r="E218"/>
      <c r="F218"/>
      <c r="G218"/>
      <c r="H218"/>
      <c r="J218"/>
      <c r="K218"/>
      <c r="L218"/>
      <c r="M218"/>
      <c r="N218"/>
      <c r="O218"/>
      <c r="P218"/>
      <c r="Q218"/>
      <c r="R218"/>
      <c r="S218"/>
      <c r="T218"/>
      <c r="U218"/>
      <c r="V218"/>
      <c r="W218"/>
      <c r="X218"/>
      <c r="Y218"/>
      <c r="Z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row>
    <row r="219" spans="1:87">
      <c r="A219"/>
      <c r="B219"/>
      <c r="C219"/>
      <c r="D219"/>
      <c r="E219"/>
      <c r="F219"/>
      <c r="G219"/>
      <c r="H219"/>
      <c r="J219"/>
      <c r="K219"/>
      <c r="L219"/>
      <c r="M219"/>
      <c r="N219"/>
      <c r="O219"/>
      <c r="P219"/>
      <c r="Q219"/>
      <c r="R219"/>
      <c r="S219"/>
      <c r="T219"/>
      <c r="U219"/>
      <c r="V219"/>
      <c r="W219"/>
      <c r="X219"/>
      <c r="Y219"/>
      <c r="Z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row>
    <row r="220" spans="1:87">
      <c r="A220"/>
      <c r="B220"/>
      <c r="C220"/>
      <c r="D220"/>
      <c r="E220"/>
      <c r="F220"/>
      <c r="G220"/>
      <c r="H220"/>
      <c r="J220"/>
      <c r="K220"/>
      <c r="L220"/>
      <c r="M220"/>
      <c r="N220"/>
      <c r="O220"/>
      <c r="P220"/>
      <c r="Q220"/>
      <c r="R220"/>
      <c r="S220"/>
      <c r="T220"/>
      <c r="U220"/>
      <c r="V220"/>
      <c r="W220"/>
      <c r="X220"/>
      <c r="Y220"/>
      <c r="Z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row>
    <row r="221" spans="1:87">
      <c r="A221"/>
      <c r="B221"/>
      <c r="C221"/>
      <c r="D221"/>
      <c r="E221"/>
      <c r="F221"/>
      <c r="G221"/>
      <c r="H221"/>
      <c r="J221"/>
      <c r="K221"/>
      <c r="L221"/>
      <c r="M221"/>
      <c r="N221"/>
      <c r="O221"/>
      <c r="P221"/>
      <c r="Q221"/>
      <c r="R221"/>
      <c r="S221"/>
      <c r="T221"/>
      <c r="U221"/>
      <c r="V221"/>
      <c r="W221"/>
      <c r="X221"/>
      <c r="Y221"/>
      <c r="Z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row>
  </sheetData>
  <customSheetViews>
    <customSheetView guid="{4ECC98B7-8F7E-48B2-BF78-0C8168954CF5}" showGridLines="0" showRowCol="0" state="hidden" showRuler="0">
      <selection activeCell="B2" sqref="B2"/>
      <pageMargins left="0.75" right="0.75" top="1" bottom="1" header="0.5" footer="0.5"/>
      <pageSetup orientation="portrait" horizontalDpi="300" verticalDpi="300" r:id="rId1"/>
      <headerFooter alignWithMargins="0"/>
    </customSheetView>
  </customSheetViews>
  <phoneticPr fontId="2" type="noConversion"/>
  <hyperlinks>
    <hyperlink ref="BQ7" r:id="rId2"/>
    <hyperlink ref="BQ10" r:id="rId3" tooltip="blocked::http://www.youtube.com/" display="http://www.youtube.com/"/>
    <hyperlink ref="BQ8" r:id="rId4"/>
    <hyperlink ref="BQ9" r:id="rId5"/>
  </hyperlinks>
  <pageMargins left="0.75" right="0.75" top="1" bottom="1" header="0.5" footer="0.5"/>
  <pageSetup orientation="portrait" horizontalDpi="300" verticalDpi="300" r:id="rId6"/>
  <headerFooter alignWithMargins="0"/>
  <legacy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jectNotes">
    <pageSetUpPr autoPageBreaks="0" fitToPage="1"/>
  </sheetPr>
  <dimension ref="B1:G117"/>
  <sheetViews>
    <sheetView showGridLines="0" topLeftCell="A103" zoomScaleNormal="100" workbookViewId="0">
      <selection activeCell="F126" sqref="F126"/>
    </sheetView>
  </sheetViews>
  <sheetFormatPr defaultRowHeight="12"/>
  <cols>
    <col min="1" max="1" width="3.85546875" style="96" customWidth="1"/>
    <col min="2" max="4" width="14.5703125" style="96" customWidth="1"/>
    <col min="5" max="5" width="25.7109375" style="96" customWidth="1"/>
    <col min="6" max="6" width="24.5703125" style="96" customWidth="1"/>
    <col min="7" max="7" width="98" style="96" customWidth="1"/>
    <col min="8" max="8" width="24.42578125" style="96" customWidth="1"/>
    <col min="9" max="16384" width="9.140625" style="96"/>
  </cols>
  <sheetData>
    <row r="1" spans="2:7" ht="12" customHeight="1">
      <c r="B1" s="323" t="s">
        <v>2323</v>
      </c>
      <c r="C1" s="321"/>
      <c r="D1" s="321"/>
      <c r="E1" s="321"/>
      <c r="F1" s="321"/>
      <c r="G1" s="321"/>
    </row>
    <row r="2" spans="2:7" ht="12" customHeight="1">
      <c r="B2" s="321"/>
      <c r="C2" s="321"/>
      <c r="D2" s="321"/>
      <c r="E2" s="321"/>
      <c r="F2" s="321"/>
      <c r="G2" s="321"/>
    </row>
    <row r="3" spans="2:7" ht="15.75">
      <c r="B3" s="320" t="s">
        <v>2324</v>
      </c>
      <c r="C3" s="320"/>
      <c r="D3" s="320"/>
      <c r="E3" s="321"/>
      <c r="F3" s="321"/>
      <c r="G3" s="321"/>
    </row>
    <row r="4" spans="2:7" ht="12.75">
      <c r="C4" s="97" t="s">
        <v>2325</v>
      </c>
      <c r="D4" s="97"/>
      <c r="E4" s="318" t="s">
        <v>2326</v>
      </c>
      <c r="F4" s="319"/>
      <c r="G4" s="319"/>
    </row>
    <row r="5" spans="2:7" ht="91.5" customHeight="1">
      <c r="C5" s="97" t="s">
        <v>2327</v>
      </c>
      <c r="D5" s="97"/>
      <c r="E5" s="324" t="s">
        <v>2328</v>
      </c>
      <c r="F5" s="325"/>
      <c r="G5" s="325"/>
    </row>
    <row r="6" spans="2:7" ht="15.75">
      <c r="B6" s="320" t="s">
        <v>2329</v>
      </c>
      <c r="C6" s="320"/>
      <c r="D6" s="320"/>
      <c r="E6" s="321"/>
      <c r="F6" s="321"/>
      <c r="G6" s="321"/>
    </row>
    <row r="7" spans="2:7">
      <c r="C7" s="97" t="s">
        <v>2325</v>
      </c>
      <c r="E7" s="96" t="s">
        <v>2330</v>
      </c>
    </row>
    <row r="8" spans="2:7">
      <c r="C8" s="97"/>
      <c r="E8" s="98"/>
    </row>
    <row r="9" spans="2:7">
      <c r="B9" s="97"/>
      <c r="C9" s="97"/>
      <c r="D9" s="97"/>
    </row>
    <row r="10" spans="2:7" ht="15.75">
      <c r="B10" s="320" t="s">
        <v>2331</v>
      </c>
      <c r="C10" s="321"/>
      <c r="D10" s="321"/>
      <c r="E10" s="321"/>
      <c r="F10" s="321"/>
      <c r="G10" s="321"/>
    </row>
    <row r="11" spans="2:7" ht="12.75">
      <c r="C11" s="97" t="s">
        <v>2325</v>
      </c>
      <c r="D11" s="97"/>
      <c r="E11" s="318" t="s">
        <v>2332</v>
      </c>
      <c r="F11" s="319"/>
      <c r="G11" s="319"/>
    </row>
    <row r="12" spans="2:7">
      <c r="B12" s="97"/>
      <c r="C12" s="97"/>
      <c r="D12" s="97"/>
      <c r="E12" s="99"/>
    </row>
    <row r="13" spans="2:7">
      <c r="B13" s="97"/>
      <c r="C13" s="97"/>
      <c r="D13" s="97"/>
      <c r="E13" s="99"/>
    </row>
    <row r="14" spans="2:7" ht="15.75">
      <c r="B14" s="320" t="s">
        <v>2333</v>
      </c>
      <c r="C14" s="321"/>
      <c r="D14" s="321"/>
      <c r="E14" s="321"/>
      <c r="F14" s="321"/>
      <c r="G14" s="321"/>
    </row>
    <row r="15" spans="2:7" ht="12.75">
      <c r="C15" s="97" t="s">
        <v>2325</v>
      </c>
      <c r="D15" s="97"/>
      <c r="E15" s="318" t="s">
        <v>2334</v>
      </c>
      <c r="F15" s="322"/>
      <c r="G15" s="322"/>
    </row>
    <row r="16" spans="2:7" ht="25.5" customHeight="1">
      <c r="C16" s="97" t="s">
        <v>2327</v>
      </c>
      <c r="D16" s="97"/>
      <c r="E16" s="318" t="s">
        <v>2335</v>
      </c>
      <c r="F16" s="322"/>
      <c r="G16" s="322"/>
    </row>
    <row r="17" spans="2:7" ht="12.75">
      <c r="C17" s="97" t="s">
        <v>2336</v>
      </c>
      <c r="D17" s="97"/>
      <c r="E17" s="318" t="s">
        <v>2337</v>
      </c>
      <c r="F17" s="322"/>
      <c r="G17" s="322"/>
    </row>
    <row r="18" spans="2:7" ht="12.75">
      <c r="C18" s="97" t="s">
        <v>2338</v>
      </c>
      <c r="D18" s="97"/>
      <c r="E18" s="318" t="s">
        <v>2339</v>
      </c>
      <c r="F18" s="322"/>
      <c r="G18" s="322"/>
    </row>
    <row r="19" spans="2:7" ht="12.75">
      <c r="B19" s="97"/>
      <c r="C19" s="97"/>
      <c r="D19" s="97"/>
      <c r="E19" s="100"/>
      <c r="F19" s="101"/>
      <c r="G19" s="101"/>
    </row>
    <row r="20" spans="2:7" ht="15.75">
      <c r="B20" s="311" t="s">
        <v>2340</v>
      </c>
      <c r="C20" s="311"/>
      <c r="D20" s="311"/>
      <c r="E20" s="311"/>
      <c r="F20" s="311"/>
      <c r="G20" s="311"/>
    </row>
    <row r="21" spans="2:7" ht="12.75">
      <c r="B21" s="102" t="s">
        <v>2341</v>
      </c>
      <c r="C21" s="102" t="s">
        <v>2342</v>
      </c>
      <c r="D21" s="102" t="s">
        <v>2343</v>
      </c>
      <c r="E21" s="102" t="s">
        <v>2344</v>
      </c>
      <c r="F21" s="103" t="s">
        <v>2345</v>
      </c>
      <c r="G21" s="103" t="s">
        <v>2346</v>
      </c>
    </row>
    <row r="22" spans="2:7" ht="19.5" customHeight="1">
      <c r="B22" s="312" t="s">
        <v>2347</v>
      </c>
      <c r="C22" s="313"/>
      <c r="D22" s="313"/>
      <c r="E22" s="313"/>
      <c r="F22" s="313"/>
      <c r="G22" s="314"/>
    </row>
    <row r="23" spans="2:7" ht="22.5" customHeight="1">
      <c r="B23" s="104" t="s">
        <v>100</v>
      </c>
      <c r="C23" s="104" t="s">
        <v>2348</v>
      </c>
      <c r="D23" s="104" t="s">
        <v>2349</v>
      </c>
      <c r="E23" s="104" t="s">
        <v>2350</v>
      </c>
      <c r="F23" s="104" t="s">
        <v>2350</v>
      </c>
      <c r="G23" s="105" t="s">
        <v>2351</v>
      </c>
    </row>
    <row r="24" spans="2:7" ht="156">
      <c r="B24" s="106" t="s">
        <v>2352</v>
      </c>
      <c r="C24" s="104" t="s">
        <v>2348</v>
      </c>
      <c r="D24" s="106" t="s">
        <v>2353</v>
      </c>
      <c r="E24" s="106" t="s">
        <v>2350</v>
      </c>
      <c r="F24" s="106" t="s">
        <v>2350</v>
      </c>
      <c r="G24" s="107" t="s">
        <v>2354</v>
      </c>
    </row>
    <row r="25" spans="2:7" ht="156">
      <c r="B25" s="106" t="s">
        <v>2355</v>
      </c>
      <c r="C25" s="106" t="s">
        <v>2348</v>
      </c>
      <c r="D25" s="106" t="s">
        <v>2356</v>
      </c>
      <c r="E25" s="106" t="s">
        <v>2350</v>
      </c>
      <c r="F25" s="106" t="s">
        <v>2350</v>
      </c>
      <c r="G25" s="107" t="s">
        <v>2357</v>
      </c>
    </row>
    <row r="26" spans="2:7">
      <c r="B26" s="106" t="s">
        <v>2358</v>
      </c>
      <c r="C26" s="106" t="s">
        <v>2348</v>
      </c>
      <c r="D26" s="106" t="s">
        <v>2359</v>
      </c>
      <c r="E26" s="106" t="s">
        <v>2350</v>
      </c>
      <c r="F26" s="106" t="s">
        <v>2350</v>
      </c>
      <c r="G26" s="108" t="s">
        <v>2360</v>
      </c>
    </row>
    <row r="27" spans="2:7" ht="39.75" customHeight="1">
      <c r="B27" s="106" t="s">
        <v>2361</v>
      </c>
      <c r="C27" s="106" t="s">
        <v>2348</v>
      </c>
      <c r="D27" s="106" t="s">
        <v>2359</v>
      </c>
      <c r="E27" s="106" t="s">
        <v>2350</v>
      </c>
      <c r="F27" s="106" t="s">
        <v>2350</v>
      </c>
      <c r="G27" s="108" t="s">
        <v>2362</v>
      </c>
    </row>
    <row r="28" spans="2:7" ht="48">
      <c r="B28" s="106" t="s">
        <v>2363</v>
      </c>
      <c r="C28" s="106" t="s">
        <v>2348</v>
      </c>
      <c r="D28" s="106" t="s">
        <v>2364</v>
      </c>
      <c r="E28" s="106" t="s">
        <v>2350</v>
      </c>
      <c r="F28" s="106" t="s">
        <v>2350</v>
      </c>
      <c r="G28" s="107" t="s">
        <v>2365</v>
      </c>
    </row>
    <row r="29" spans="2:7" ht="144">
      <c r="B29" s="106" t="s">
        <v>2366</v>
      </c>
      <c r="C29" s="106" t="s">
        <v>2348</v>
      </c>
      <c r="D29" s="106" t="s">
        <v>2367</v>
      </c>
      <c r="E29" s="106" t="s">
        <v>2350</v>
      </c>
      <c r="F29" s="106" t="s">
        <v>2350</v>
      </c>
      <c r="G29" s="107" t="s">
        <v>2368</v>
      </c>
    </row>
    <row r="30" spans="2:7" ht="36">
      <c r="B30" s="106" t="s">
        <v>2369</v>
      </c>
      <c r="C30" s="106" t="s">
        <v>2348</v>
      </c>
      <c r="D30" s="106" t="s">
        <v>2370</v>
      </c>
      <c r="E30" s="106" t="s">
        <v>2350</v>
      </c>
      <c r="F30" s="106" t="s">
        <v>2350</v>
      </c>
      <c r="G30" s="107" t="s">
        <v>2371</v>
      </c>
    </row>
    <row r="31" spans="2:7">
      <c r="B31" s="106" t="s">
        <v>2372</v>
      </c>
      <c r="C31" s="106" t="s">
        <v>2348</v>
      </c>
      <c r="D31" s="106" t="s">
        <v>2373</v>
      </c>
      <c r="E31" s="106" t="s">
        <v>2350</v>
      </c>
      <c r="F31" s="106" t="s">
        <v>2350</v>
      </c>
      <c r="G31" s="107" t="s">
        <v>2374</v>
      </c>
    </row>
    <row r="32" spans="2:7" ht="24">
      <c r="B32" s="106" t="s">
        <v>2375</v>
      </c>
      <c r="C32" s="106" t="s">
        <v>2348</v>
      </c>
      <c r="D32" s="106" t="s">
        <v>2376</v>
      </c>
      <c r="E32" s="106" t="s">
        <v>2350</v>
      </c>
      <c r="F32" s="106" t="s">
        <v>2350</v>
      </c>
      <c r="G32" s="107" t="s">
        <v>2377</v>
      </c>
    </row>
    <row r="33" spans="2:7" ht="24">
      <c r="B33" s="106" t="s">
        <v>2378</v>
      </c>
      <c r="C33" s="106" t="s">
        <v>2348</v>
      </c>
      <c r="D33" s="106" t="s">
        <v>2379</v>
      </c>
      <c r="E33" s="106" t="s">
        <v>2380</v>
      </c>
      <c r="F33" s="106" t="s">
        <v>2381</v>
      </c>
      <c r="G33" s="107" t="s">
        <v>2382</v>
      </c>
    </row>
    <row r="34" spans="2:7" ht="60">
      <c r="B34" s="106" t="s">
        <v>2383</v>
      </c>
      <c r="C34" s="106" t="s">
        <v>2348</v>
      </c>
      <c r="D34" s="106" t="s">
        <v>2384</v>
      </c>
      <c r="E34" s="106"/>
      <c r="F34" s="106" t="s">
        <v>2385</v>
      </c>
      <c r="G34" s="107" t="s">
        <v>2386</v>
      </c>
    </row>
    <row r="35" spans="2:7" ht="24">
      <c r="B35" s="106" t="s">
        <v>2387</v>
      </c>
      <c r="C35" s="106" t="s">
        <v>2348</v>
      </c>
      <c r="D35" s="106" t="s">
        <v>2388</v>
      </c>
      <c r="E35" s="106"/>
      <c r="F35" s="106" t="s">
        <v>2385</v>
      </c>
      <c r="G35" s="107" t="s">
        <v>2389</v>
      </c>
    </row>
    <row r="36" spans="2:7" ht="120">
      <c r="B36" s="106" t="s">
        <v>2390</v>
      </c>
      <c r="C36" s="106" t="s">
        <v>2348</v>
      </c>
      <c r="D36" s="106" t="s">
        <v>2391</v>
      </c>
      <c r="E36" s="106"/>
      <c r="F36" s="106" t="s">
        <v>2385</v>
      </c>
      <c r="G36" s="107" t="s">
        <v>2392</v>
      </c>
    </row>
    <row r="37" spans="2:7" ht="36">
      <c r="B37" s="106" t="s">
        <v>2393</v>
      </c>
      <c r="C37" s="106" t="s">
        <v>2348</v>
      </c>
      <c r="D37" s="106" t="s">
        <v>2394</v>
      </c>
      <c r="E37" s="106"/>
      <c r="F37" s="106" t="s">
        <v>2350</v>
      </c>
      <c r="G37" s="107" t="s">
        <v>2395</v>
      </c>
    </row>
    <row r="38" spans="2:7" ht="36">
      <c r="B38" s="106" t="s">
        <v>2396</v>
      </c>
      <c r="C38" s="106" t="s">
        <v>2348</v>
      </c>
      <c r="D38" s="106" t="s">
        <v>2397</v>
      </c>
      <c r="E38" s="106"/>
      <c r="F38" s="106" t="s">
        <v>2350</v>
      </c>
      <c r="G38" s="107" t="s">
        <v>2398</v>
      </c>
    </row>
    <row r="39" spans="2:7" ht="108">
      <c r="B39" s="106" t="s">
        <v>2399</v>
      </c>
      <c r="C39" s="106" t="s">
        <v>2348</v>
      </c>
      <c r="D39" s="106" t="s">
        <v>2400</v>
      </c>
      <c r="E39" s="106" t="s">
        <v>2401</v>
      </c>
      <c r="F39" s="106"/>
      <c r="G39" s="107" t="s">
        <v>2402</v>
      </c>
    </row>
    <row r="40" spans="2:7">
      <c r="B40" s="106" t="s">
        <v>2403</v>
      </c>
      <c r="C40" s="106" t="s">
        <v>2348</v>
      </c>
      <c r="D40" s="106" t="s">
        <v>2404</v>
      </c>
      <c r="E40" s="106" t="s">
        <v>2401</v>
      </c>
      <c r="F40" s="106" t="s">
        <v>2350</v>
      </c>
      <c r="G40" s="107" t="s">
        <v>2405</v>
      </c>
    </row>
    <row r="41" spans="2:7">
      <c r="B41" s="106" t="s">
        <v>2406</v>
      </c>
      <c r="C41" s="106" t="s">
        <v>2348</v>
      </c>
      <c r="D41" s="106" t="s">
        <v>2407</v>
      </c>
      <c r="E41" s="106" t="s">
        <v>2408</v>
      </c>
      <c r="F41" s="106" t="s">
        <v>2350</v>
      </c>
      <c r="G41" s="107" t="s">
        <v>2409</v>
      </c>
    </row>
    <row r="42" spans="2:7" ht="24">
      <c r="B42" s="106" t="s">
        <v>2410</v>
      </c>
      <c r="C42" s="106" t="s">
        <v>2348</v>
      </c>
      <c r="D42" s="106"/>
      <c r="E42" s="106"/>
      <c r="F42" s="106"/>
      <c r="G42" s="107" t="s">
        <v>2411</v>
      </c>
    </row>
    <row r="43" spans="2:7" ht="60">
      <c r="B43" s="106" t="s">
        <v>2412</v>
      </c>
      <c r="C43" s="106" t="s">
        <v>2348</v>
      </c>
      <c r="D43" s="106" t="s">
        <v>2413</v>
      </c>
      <c r="E43" s="106" t="s">
        <v>2408</v>
      </c>
      <c r="F43" s="106"/>
      <c r="G43" s="107" t="s">
        <v>2414</v>
      </c>
    </row>
    <row r="44" spans="2:7">
      <c r="B44" s="106" t="s">
        <v>2415</v>
      </c>
      <c r="C44" s="106" t="s">
        <v>2348</v>
      </c>
      <c r="D44" s="106" t="s">
        <v>2416</v>
      </c>
      <c r="E44" s="106" t="s">
        <v>2417</v>
      </c>
      <c r="F44" s="106"/>
      <c r="G44" s="107" t="s">
        <v>2418</v>
      </c>
    </row>
    <row r="45" spans="2:7" ht="36">
      <c r="B45" s="106" t="s">
        <v>2419</v>
      </c>
      <c r="C45" s="106" t="s">
        <v>2348</v>
      </c>
      <c r="D45" s="106" t="s">
        <v>2420</v>
      </c>
      <c r="E45" s="108" t="s">
        <v>2421</v>
      </c>
      <c r="F45" s="106"/>
      <c r="G45" s="107" t="s">
        <v>2422</v>
      </c>
    </row>
    <row r="46" spans="2:7" ht="60">
      <c r="B46" s="106" t="s">
        <v>2423</v>
      </c>
      <c r="C46" s="106" t="s">
        <v>2348</v>
      </c>
      <c r="D46" s="106" t="s">
        <v>2420</v>
      </c>
      <c r="E46" s="108" t="s">
        <v>2424</v>
      </c>
      <c r="F46" s="106"/>
      <c r="G46" s="107" t="s">
        <v>2425</v>
      </c>
    </row>
    <row r="47" spans="2:7" ht="24">
      <c r="B47" s="106" t="s">
        <v>2426</v>
      </c>
      <c r="C47" s="106" t="s">
        <v>2348</v>
      </c>
      <c r="D47" s="106" t="s">
        <v>2427</v>
      </c>
      <c r="E47" s="108" t="s">
        <v>2428</v>
      </c>
      <c r="F47" s="106"/>
      <c r="G47" s="107" t="s">
        <v>2429</v>
      </c>
    </row>
    <row r="48" spans="2:7">
      <c r="B48" s="106" t="s">
        <v>2430</v>
      </c>
      <c r="C48" s="106" t="s">
        <v>2348</v>
      </c>
      <c r="D48" s="106" t="s">
        <v>2431</v>
      </c>
      <c r="E48" s="108" t="s">
        <v>2428</v>
      </c>
      <c r="F48" s="106"/>
      <c r="G48" s="107" t="s">
        <v>2432</v>
      </c>
    </row>
    <row r="49" spans="2:7" ht="216">
      <c r="B49" s="106" t="s">
        <v>2433</v>
      </c>
      <c r="C49" s="106" t="s">
        <v>2348</v>
      </c>
      <c r="D49" s="106" t="s">
        <v>2434</v>
      </c>
      <c r="E49" s="108" t="s">
        <v>2428</v>
      </c>
      <c r="F49" s="106"/>
      <c r="G49" s="107" t="s">
        <v>2435</v>
      </c>
    </row>
    <row r="50" spans="2:7" ht="24">
      <c r="B50" s="106" t="s">
        <v>2433</v>
      </c>
      <c r="C50" s="106" t="s">
        <v>2348</v>
      </c>
      <c r="D50" s="106" t="s">
        <v>2434</v>
      </c>
      <c r="E50" s="108" t="s">
        <v>2428</v>
      </c>
      <c r="F50" s="106"/>
      <c r="G50" s="107" t="s">
        <v>2436</v>
      </c>
    </row>
    <row r="51" spans="2:7" ht="24.75" customHeight="1">
      <c r="B51" s="315" t="s">
        <v>2347</v>
      </c>
      <c r="C51" s="316"/>
      <c r="D51" s="316"/>
      <c r="E51" s="316"/>
      <c r="F51" s="316"/>
      <c r="G51" s="317"/>
    </row>
    <row r="52" spans="2:7">
      <c r="B52" s="106" t="s">
        <v>2437</v>
      </c>
      <c r="C52" s="106" t="s">
        <v>2348</v>
      </c>
      <c r="D52" s="106" t="s">
        <v>2438</v>
      </c>
      <c r="E52" s="108"/>
      <c r="F52" s="106"/>
      <c r="G52" s="107"/>
    </row>
    <row r="53" spans="2:7" ht="120">
      <c r="B53" s="106" t="s">
        <v>2352</v>
      </c>
      <c r="C53" s="106" t="s">
        <v>2348</v>
      </c>
      <c r="D53" s="106" t="s">
        <v>2439</v>
      </c>
      <c r="E53" s="108"/>
      <c r="F53" s="106"/>
      <c r="G53" s="107" t="s">
        <v>2440</v>
      </c>
    </row>
    <row r="54" spans="2:7" ht="156">
      <c r="B54" s="106" t="s">
        <v>2355</v>
      </c>
      <c r="C54" s="106" t="s">
        <v>2348</v>
      </c>
      <c r="D54" s="106" t="s">
        <v>2441</v>
      </c>
      <c r="E54" s="108"/>
      <c r="F54" s="106"/>
      <c r="G54" s="107" t="s">
        <v>2442</v>
      </c>
    </row>
    <row r="55" spans="2:7" ht="24">
      <c r="B55" s="106" t="s">
        <v>2358</v>
      </c>
      <c r="C55" s="106" t="s">
        <v>2348</v>
      </c>
      <c r="D55" s="106" t="s">
        <v>2443</v>
      </c>
      <c r="E55" s="106"/>
      <c r="F55" s="106"/>
      <c r="G55" s="108" t="s">
        <v>2444</v>
      </c>
    </row>
    <row r="56" spans="2:7" ht="48">
      <c r="B56" s="106" t="s">
        <v>2361</v>
      </c>
      <c r="C56" s="106" t="s">
        <v>2348</v>
      </c>
      <c r="D56" s="106" t="s">
        <v>2445</v>
      </c>
      <c r="E56" s="106"/>
      <c r="F56" s="106"/>
      <c r="G56" s="108" t="s">
        <v>2446</v>
      </c>
    </row>
    <row r="57" spans="2:7" ht="36">
      <c r="B57" s="106" t="s">
        <v>2363</v>
      </c>
      <c r="C57" s="106" t="s">
        <v>2348</v>
      </c>
      <c r="D57" s="106" t="s">
        <v>2447</v>
      </c>
      <c r="E57" s="106"/>
      <c r="F57" s="106"/>
      <c r="G57" s="107" t="s">
        <v>2448</v>
      </c>
    </row>
    <row r="58" spans="2:7" ht="72">
      <c r="B58" s="106" t="s">
        <v>2366</v>
      </c>
      <c r="C58" s="106" t="s">
        <v>2348</v>
      </c>
      <c r="D58" s="106" t="s">
        <v>2449</v>
      </c>
      <c r="E58" s="106"/>
      <c r="F58" s="106"/>
      <c r="G58" s="107" t="s">
        <v>2450</v>
      </c>
    </row>
    <row r="59" spans="2:7" ht="72">
      <c r="B59" s="109" t="s">
        <v>2369</v>
      </c>
      <c r="C59" s="109" t="s">
        <v>2348</v>
      </c>
      <c r="D59" s="109" t="s">
        <v>2451</v>
      </c>
      <c r="E59" s="109"/>
      <c r="F59" s="109"/>
      <c r="G59" s="110" t="s">
        <v>2452</v>
      </c>
    </row>
    <row r="60" spans="2:7">
      <c r="B60" s="111" t="s">
        <v>2372</v>
      </c>
      <c r="C60" s="109" t="s">
        <v>2348</v>
      </c>
      <c r="D60" s="109" t="s">
        <v>2453</v>
      </c>
      <c r="E60" s="109"/>
      <c r="F60" s="109"/>
      <c r="G60" s="112" t="s">
        <v>2454</v>
      </c>
    </row>
    <row r="61" spans="2:7">
      <c r="B61" s="113"/>
      <c r="C61" s="114"/>
      <c r="D61" s="114"/>
      <c r="E61" s="114"/>
      <c r="F61" s="114"/>
      <c r="G61" s="115" t="s">
        <v>2455</v>
      </c>
    </row>
    <row r="62" spans="2:7">
      <c r="B62" s="113"/>
      <c r="C62" s="114"/>
      <c r="D62" s="114"/>
      <c r="E62" s="114"/>
      <c r="F62" s="114"/>
      <c r="G62" s="116" t="s">
        <v>2456</v>
      </c>
    </row>
    <row r="63" spans="2:7">
      <c r="B63" s="113"/>
      <c r="C63" s="114"/>
      <c r="D63" s="114"/>
      <c r="E63" s="114"/>
      <c r="F63" s="114"/>
      <c r="G63" s="116" t="s">
        <v>2457</v>
      </c>
    </row>
    <row r="64" spans="2:7">
      <c r="B64" s="113"/>
      <c r="C64" s="114"/>
      <c r="D64" s="114"/>
      <c r="E64" s="114"/>
      <c r="F64" s="114"/>
      <c r="G64" s="116" t="s">
        <v>2458</v>
      </c>
    </row>
    <row r="65" spans="2:7">
      <c r="B65" s="113"/>
      <c r="C65" s="114"/>
      <c r="D65" s="114"/>
      <c r="E65" s="114"/>
      <c r="F65" s="114"/>
      <c r="G65" s="116" t="s">
        <v>2459</v>
      </c>
    </row>
    <row r="66" spans="2:7">
      <c r="B66" s="113"/>
      <c r="C66" s="114"/>
      <c r="D66" s="114"/>
      <c r="E66" s="114"/>
      <c r="F66" s="114"/>
      <c r="G66" s="116" t="s">
        <v>2460</v>
      </c>
    </row>
    <row r="67" spans="2:7">
      <c r="B67" s="117"/>
      <c r="C67" s="118"/>
      <c r="D67" s="118"/>
      <c r="E67" s="118"/>
      <c r="F67" s="118"/>
      <c r="G67" s="119" t="s">
        <v>2461</v>
      </c>
    </row>
    <row r="68" spans="2:7" ht="192">
      <c r="B68" s="106" t="s">
        <v>2375</v>
      </c>
      <c r="C68" s="106" t="s">
        <v>2348</v>
      </c>
      <c r="D68" s="106" t="s">
        <v>2462</v>
      </c>
      <c r="E68" s="106"/>
      <c r="F68" s="106"/>
      <c r="G68" s="107" t="s">
        <v>2463</v>
      </c>
    </row>
    <row r="69" spans="2:7">
      <c r="B69" s="106" t="s">
        <v>2378</v>
      </c>
      <c r="C69" s="106" t="s">
        <v>2464</v>
      </c>
      <c r="D69" s="106" t="s">
        <v>2465</v>
      </c>
      <c r="E69" s="106"/>
      <c r="F69" s="106"/>
      <c r="G69" s="107" t="s">
        <v>2466</v>
      </c>
    </row>
    <row r="70" spans="2:7" ht="24" customHeight="1">
      <c r="B70" s="106" t="s">
        <v>2383</v>
      </c>
      <c r="C70" s="106" t="s">
        <v>2464</v>
      </c>
      <c r="D70" s="106" t="s">
        <v>2467</v>
      </c>
      <c r="E70" s="106"/>
      <c r="F70" s="106"/>
      <c r="G70" s="107" t="s">
        <v>2468</v>
      </c>
    </row>
    <row r="71" spans="2:7" ht="24" customHeight="1">
      <c r="B71" s="106" t="s">
        <v>2387</v>
      </c>
      <c r="C71" s="106" t="s">
        <v>2464</v>
      </c>
      <c r="D71" s="106" t="s">
        <v>2467</v>
      </c>
      <c r="E71" s="106"/>
      <c r="F71" s="106"/>
      <c r="G71" s="107" t="s">
        <v>2469</v>
      </c>
    </row>
    <row r="72" spans="2:7" ht="131.25" customHeight="1">
      <c r="B72" s="106" t="s">
        <v>2390</v>
      </c>
      <c r="C72" s="106" t="s">
        <v>2464</v>
      </c>
      <c r="D72" s="106" t="s">
        <v>2470</v>
      </c>
      <c r="E72" s="106"/>
      <c r="F72" s="106"/>
      <c r="G72" s="107" t="s">
        <v>2471</v>
      </c>
    </row>
    <row r="73" spans="2:7" ht="49.5" customHeight="1">
      <c r="B73" s="106" t="s">
        <v>2393</v>
      </c>
      <c r="C73" s="106" t="s">
        <v>2464</v>
      </c>
      <c r="D73" s="106" t="s">
        <v>2472</v>
      </c>
      <c r="E73" s="106"/>
      <c r="F73" s="106"/>
      <c r="G73" s="107" t="s">
        <v>2473</v>
      </c>
    </row>
    <row r="74" spans="2:7" ht="49.5" customHeight="1">
      <c r="B74" s="106" t="s">
        <v>2396</v>
      </c>
      <c r="C74" s="106" t="s">
        <v>2464</v>
      </c>
      <c r="D74" s="106" t="s">
        <v>2474</v>
      </c>
      <c r="E74" s="106"/>
      <c r="F74" s="106"/>
      <c r="G74" s="107" t="s">
        <v>2475</v>
      </c>
    </row>
    <row r="75" spans="2:7" ht="15">
      <c r="B75" s="315" t="s">
        <v>2476</v>
      </c>
      <c r="C75" s="316"/>
      <c r="D75" s="316"/>
      <c r="E75" s="316"/>
      <c r="F75" s="316"/>
      <c r="G75" s="317"/>
    </row>
    <row r="76" spans="2:7" ht="63" customHeight="1">
      <c r="B76" s="106" t="s">
        <v>100</v>
      </c>
      <c r="C76" s="106" t="s">
        <v>2477</v>
      </c>
      <c r="D76" s="106" t="s">
        <v>2478</v>
      </c>
      <c r="E76" s="108"/>
      <c r="F76" s="106"/>
      <c r="G76" s="107" t="s">
        <v>2552</v>
      </c>
    </row>
    <row r="77" spans="2:7" ht="38.25" customHeight="1">
      <c r="B77" s="106" t="s">
        <v>2352</v>
      </c>
      <c r="C77" s="106" t="s">
        <v>2477</v>
      </c>
      <c r="D77" s="106" t="s">
        <v>2479</v>
      </c>
      <c r="E77" s="108"/>
      <c r="F77" s="106"/>
      <c r="G77" s="107" t="s">
        <v>2553</v>
      </c>
    </row>
    <row r="78" spans="2:7" ht="51" customHeight="1">
      <c r="B78" s="106"/>
      <c r="C78" s="106"/>
      <c r="D78" s="106" t="s">
        <v>2549</v>
      </c>
      <c r="E78" s="108"/>
      <c r="F78" s="106"/>
      <c r="G78" s="107" t="s">
        <v>2554</v>
      </c>
    </row>
    <row r="79" spans="2:7" ht="69.75" customHeight="1">
      <c r="B79" s="106" t="s">
        <v>2355</v>
      </c>
      <c r="C79" s="106" t="s">
        <v>2477</v>
      </c>
      <c r="D79" s="106" t="s">
        <v>2550</v>
      </c>
      <c r="E79" s="106"/>
      <c r="F79" s="106"/>
      <c r="G79" s="240" t="s">
        <v>2555</v>
      </c>
    </row>
    <row r="80" spans="2:7" ht="100.5" customHeight="1">
      <c r="B80" s="106" t="s">
        <v>2358</v>
      </c>
      <c r="C80" s="106" t="s">
        <v>2477</v>
      </c>
      <c r="D80" s="106" t="s">
        <v>2551</v>
      </c>
      <c r="E80" s="106"/>
      <c r="F80" s="106"/>
      <c r="G80" s="242" t="s">
        <v>2557</v>
      </c>
    </row>
    <row r="81" spans="2:7">
      <c r="B81" s="106" t="s">
        <v>2361</v>
      </c>
      <c r="C81" s="106" t="s">
        <v>2477</v>
      </c>
      <c r="D81" s="106" t="s">
        <v>2556</v>
      </c>
      <c r="E81" s="106"/>
      <c r="F81" s="106"/>
      <c r="G81" s="107" t="s">
        <v>2558</v>
      </c>
    </row>
    <row r="82" spans="2:7" ht="108">
      <c r="B82" s="106" t="s">
        <v>2363</v>
      </c>
      <c r="C82" s="106" t="s">
        <v>2477</v>
      </c>
      <c r="D82" s="106" t="s">
        <v>2559</v>
      </c>
      <c r="E82" s="106"/>
      <c r="F82" s="106"/>
      <c r="G82" s="107" t="s">
        <v>2661</v>
      </c>
    </row>
    <row r="83" spans="2:7" ht="24">
      <c r="B83" s="106" t="s">
        <v>2366</v>
      </c>
      <c r="C83" s="106" t="s">
        <v>2477</v>
      </c>
      <c r="D83" s="106" t="s">
        <v>2662</v>
      </c>
      <c r="E83" s="106"/>
      <c r="F83" s="106"/>
      <c r="G83" s="108" t="s">
        <v>2663</v>
      </c>
    </row>
    <row r="84" spans="2:7">
      <c r="B84" s="106" t="s">
        <v>2664</v>
      </c>
      <c r="C84" s="106" t="s">
        <v>2477</v>
      </c>
      <c r="D84" s="106" t="s">
        <v>2665</v>
      </c>
      <c r="E84" s="106"/>
      <c r="F84" s="106"/>
      <c r="G84" s="106" t="s">
        <v>2666</v>
      </c>
    </row>
    <row r="85" spans="2:7" ht="24">
      <c r="B85" s="106" t="s">
        <v>2372</v>
      </c>
      <c r="C85" s="106" t="s">
        <v>2477</v>
      </c>
      <c r="D85" s="106" t="s">
        <v>2669</v>
      </c>
      <c r="E85" s="106"/>
      <c r="F85" s="106"/>
      <c r="G85" s="108" t="s">
        <v>2667</v>
      </c>
    </row>
    <row r="86" spans="2:7">
      <c r="B86" s="106" t="s">
        <v>2375</v>
      </c>
      <c r="C86" s="106" t="s">
        <v>2477</v>
      </c>
      <c r="D86" s="106" t="s">
        <v>2670</v>
      </c>
      <c r="E86" s="106"/>
      <c r="F86" s="106"/>
      <c r="G86" s="106" t="s">
        <v>2668</v>
      </c>
    </row>
    <row r="87" spans="2:7" ht="24">
      <c r="B87" s="106" t="s">
        <v>2378</v>
      </c>
      <c r="C87" s="106" t="s">
        <v>2477</v>
      </c>
      <c r="D87" s="106" t="s">
        <v>2671</v>
      </c>
      <c r="E87" s="106"/>
      <c r="F87" s="106"/>
      <c r="G87" s="108" t="s">
        <v>2672</v>
      </c>
    </row>
    <row r="88" spans="2:7" ht="41.25" customHeight="1">
      <c r="B88" s="106" t="s">
        <v>2383</v>
      </c>
      <c r="C88" s="106" t="s">
        <v>2477</v>
      </c>
      <c r="D88" s="106" t="s">
        <v>2673</v>
      </c>
      <c r="E88" s="106"/>
      <c r="F88" s="106"/>
      <c r="G88" s="242" t="s">
        <v>2674</v>
      </c>
    </row>
    <row r="89" spans="2:7" ht="36">
      <c r="B89" s="106" t="s">
        <v>2387</v>
      </c>
      <c r="C89" s="106" t="s">
        <v>2477</v>
      </c>
      <c r="D89" s="106" t="s">
        <v>2675</v>
      </c>
      <c r="E89" s="106"/>
      <c r="F89" s="106"/>
      <c r="G89" s="108" t="s">
        <v>2676</v>
      </c>
    </row>
    <row r="90" spans="2:7" ht="61.5" customHeight="1">
      <c r="B90" s="106" t="s">
        <v>2390</v>
      </c>
      <c r="C90" s="106" t="s">
        <v>2477</v>
      </c>
      <c r="D90" s="106" t="s">
        <v>2679</v>
      </c>
      <c r="E90" s="106"/>
      <c r="F90" s="106"/>
      <c r="G90" s="242" t="s">
        <v>2677</v>
      </c>
    </row>
    <row r="91" spans="2:7">
      <c r="B91" s="106" t="s">
        <v>2393</v>
      </c>
      <c r="C91" s="106" t="s">
        <v>2477</v>
      </c>
      <c r="D91" s="106" t="s">
        <v>2678</v>
      </c>
      <c r="E91" s="106"/>
      <c r="F91" s="106"/>
      <c r="G91" s="106" t="s">
        <v>2680</v>
      </c>
    </row>
    <row r="92" spans="2:7" ht="36">
      <c r="B92" s="106" t="s">
        <v>2396</v>
      </c>
      <c r="C92" s="106" t="s">
        <v>2477</v>
      </c>
      <c r="D92" s="106" t="s">
        <v>2681</v>
      </c>
      <c r="E92" s="106"/>
      <c r="F92" s="106"/>
      <c r="G92" s="108" t="s">
        <v>2682</v>
      </c>
    </row>
    <row r="93" spans="2:7" ht="78" customHeight="1">
      <c r="B93" s="106" t="s">
        <v>2399</v>
      </c>
      <c r="C93" s="106" t="s">
        <v>2477</v>
      </c>
      <c r="D93" s="106" t="s">
        <v>2683</v>
      </c>
      <c r="E93" s="106"/>
      <c r="F93" s="106"/>
      <c r="G93" s="245" t="s">
        <v>2684</v>
      </c>
    </row>
    <row r="94" spans="2:7" ht="156.75" customHeight="1">
      <c r="B94" s="106" t="s">
        <v>2403</v>
      </c>
      <c r="C94" s="106" t="s">
        <v>2477</v>
      </c>
      <c r="D94" s="106" t="s">
        <v>2685</v>
      </c>
      <c r="E94" s="106"/>
      <c r="F94" s="106"/>
      <c r="G94" s="245" t="s">
        <v>2686</v>
      </c>
    </row>
    <row r="95" spans="2:7" ht="42" customHeight="1">
      <c r="B95" s="106" t="s">
        <v>2406</v>
      </c>
      <c r="C95" s="106" t="s">
        <v>2687</v>
      </c>
      <c r="D95" s="106" t="s">
        <v>2688</v>
      </c>
      <c r="E95" s="106"/>
      <c r="F95" s="106"/>
      <c r="G95" s="245" t="s">
        <v>2689</v>
      </c>
    </row>
    <row r="96" spans="2:7" ht="144">
      <c r="B96" s="106" t="s">
        <v>2410</v>
      </c>
      <c r="C96" s="106" t="s">
        <v>2477</v>
      </c>
      <c r="D96" s="106" t="s">
        <v>2714</v>
      </c>
      <c r="E96" s="106"/>
      <c r="F96" s="106"/>
      <c r="G96" s="245" t="s">
        <v>2708</v>
      </c>
    </row>
    <row r="97" spans="2:7">
      <c r="B97" s="106" t="s">
        <v>2412</v>
      </c>
      <c r="C97" s="106" t="s">
        <v>2477</v>
      </c>
      <c r="D97" s="106" t="s">
        <v>2713</v>
      </c>
      <c r="E97" s="106"/>
      <c r="F97" s="106"/>
      <c r="G97" s="242" t="s">
        <v>2710</v>
      </c>
    </row>
    <row r="98" spans="2:7" ht="24">
      <c r="B98" s="106" t="s">
        <v>2415</v>
      </c>
      <c r="C98" s="106" t="s">
        <v>2477</v>
      </c>
      <c r="D98" s="106" t="s">
        <v>2712</v>
      </c>
      <c r="E98" s="106"/>
      <c r="F98" s="106"/>
      <c r="G98" s="108" t="s">
        <v>2711</v>
      </c>
    </row>
    <row r="99" spans="2:7" ht="36">
      <c r="B99" s="106" t="s">
        <v>2419</v>
      </c>
      <c r="C99" s="106" t="s">
        <v>2477</v>
      </c>
      <c r="D99" s="106" t="s">
        <v>2715</v>
      </c>
      <c r="E99" s="106"/>
      <c r="F99" s="106"/>
      <c r="G99" s="108" t="s">
        <v>2716</v>
      </c>
    </row>
    <row r="100" spans="2:7" ht="36">
      <c r="B100" s="106" t="s">
        <v>2423</v>
      </c>
      <c r="C100" s="106" t="s">
        <v>2477</v>
      </c>
      <c r="D100" s="106" t="s">
        <v>2723</v>
      </c>
      <c r="E100" s="106"/>
      <c r="F100" s="106"/>
      <c r="G100" s="242" t="s">
        <v>2722</v>
      </c>
    </row>
    <row r="101" spans="2:7" s="99" customFormat="1" ht="18.75" customHeight="1">
      <c r="B101" s="108" t="s">
        <v>2426</v>
      </c>
      <c r="C101" s="108" t="s">
        <v>2477</v>
      </c>
      <c r="D101" s="108" t="s">
        <v>2724</v>
      </c>
      <c r="E101" s="108"/>
      <c r="F101" s="108"/>
      <c r="G101" s="108" t="s">
        <v>2725</v>
      </c>
    </row>
    <row r="102" spans="2:7" ht="17.25" customHeight="1">
      <c r="B102" s="108" t="s">
        <v>2430</v>
      </c>
      <c r="C102" s="106" t="s">
        <v>2687</v>
      </c>
      <c r="D102" s="106" t="s">
        <v>2728</v>
      </c>
      <c r="E102" s="106"/>
      <c r="F102" s="106"/>
      <c r="G102" s="242" t="s">
        <v>2726</v>
      </c>
    </row>
    <row r="103" spans="2:7">
      <c r="B103" s="106" t="s">
        <v>2433</v>
      </c>
      <c r="C103" s="106" t="s">
        <v>2687</v>
      </c>
      <c r="D103" s="106" t="s">
        <v>2727</v>
      </c>
      <c r="E103" s="106"/>
      <c r="F103" s="106"/>
      <c r="G103" s="106" t="s">
        <v>2735</v>
      </c>
    </row>
    <row r="104" spans="2:7">
      <c r="B104" s="106" t="s">
        <v>2729</v>
      </c>
      <c r="C104" s="106" t="s">
        <v>2687</v>
      </c>
      <c r="D104" s="106" t="s">
        <v>2730</v>
      </c>
      <c r="E104" s="106"/>
      <c r="F104" s="106"/>
      <c r="G104" s="106" t="s">
        <v>2731</v>
      </c>
    </row>
    <row r="105" spans="2:7" ht="115.5" customHeight="1">
      <c r="B105" s="106" t="s">
        <v>2733</v>
      </c>
      <c r="C105" s="106" t="s">
        <v>2687</v>
      </c>
      <c r="D105" s="106" t="s">
        <v>2734</v>
      </c>
      <c r="E105" s="106"/>
      <c r="F105" s="106"/>
      <c r="G105" s="242" t="s">
        <v>2736</v>
      </c>
    </row>
    <row r="106" spans="2:7" ht="132">
      <c r="B106" s="106" t="s">
        <v>2737</v>
      </c>
      <c r="C106" s="106" t="s">
        <v>2687</v>
      </c>
      <c r="D106" s="106" t="s">
        <v>2738</v>
      </c>
      <c r="E106" s="106"/>
      <c r="F106" s="106"/>
      <c r="G106" s="242" t="s">
        <v>2741</v>
      </c>
    </row>
    <row r="107" spans="2:7">
      <c r="B107" s="106" t="s">
        <v>2742</v>
      </c>
      <c r="C107" s="106" t="s">
        <v>2687</v>
      </c>
      <c r="D107" s="106" t="s">
        <v>2743</v>
      </c>
      <c r="E107" s="106"/>
      <c r="F107" s="106"/>
      <c r="G107" s="106" t="s">
        <v>2744</v>
      </c>
    </row>
    <row r="108" spans="2:7" ht="36">
      <c r="B108" s="106" t="s">
        <v>2745</v>
      </c>
      <c r="C108" s="106" t="s">
        <v>2687</v>
      </c>
      <c r="D108" s="106" t="s">
        <v>2746</v>
      </c>
      <c r="E108" s="106"/>
      <c r="F108" s="106"/>
      <c r="G108" s="108" t="s">
        <v>2747</v>
      </c>
    </row>
    <row r="109" spans="2:7">
      <c r="B109" s="106" t="s">
        <v>2748</v>
      </c>
      <c r="C109" s="106" t="s">
        <v>2687</v>
      </c>
      <c r="D109" s="106" t="s">
        <v>2749</v>
      </c>
      <c r="E109" s="106"/>
      <c r="F109" s="106"/>
      <c r="G109" s="106" t="s">
        <v>2750</v>
      </c>
    </row>
    <row r="110" spans="2:7">
      <c r="B110" s="106" t="s">
        <v>2751</v>
      </c>
      <c r="C110" s="106" t="s">
        <v>2687</v>
      </c>
      <c r="D110" s="106" t="s">
        <v>2752</v>
      </c>
      <c r="E110" s="106"/>
      <c r="F110" s="106"/>
      <c r="G110" s="106" t="s">
        <v>2753</v>
      </c>
    </row>
    <row r="111" spans="2:7">
      <c r="B111" s="106" t="s">
        <v>2754</v>
      </c>
      <c r="C111" s="106" t="s">
        <v>2687</v>
      </c>
      <c r="D111" s="106" t="s">
        <v>2755</v>
      </c>
      <c r="E111" s="106"/>
      <c r="F111" s="106"/>
      <c r="G111" s="106" t="s">
        <v>2756</v>
      </c>
    </row>
    <row r="112" spans="2:7">
      <c r="B112" s="106" t="s">
        <v>2757</v>
      </c>
      <c r="C112" s="106" t="s">
        <v>2687</v>
      </c>
      <c r="D112" s="106" t="s">
        <v>2758</v>
      </c>
      <c r="E112" s="106"/>
      <c r="F112" s="106"/>
      <c r="G112" s="106" t="s">
        <v>2759</v>
      </c>
    </row>
    <row r="113" spans="2:7">
      <c r="B113" s="106" t="s">
        <v>2760</v>
      </c>
      <c r="C113" s="106" t="s">
        <v>2687</v>
      </c>
      <c r="D113" s="106" t="s">
        <v>2761</v>
      </c>
      <c r="E113" s="106"/>
      <c r="F113" s="106"/>
      <c r="G113" s="106" t="s">
        <v>2762</v>
      </c>
    </row>
    <row r="114" spans="2:7">
      <c r="B114" s="106" t="s">
        <v>2763</v>
      </c>
      <c r="C114" s="106" t="s">
        <v>2687</v>
      </c>
      <c r="D114" s="106" t="s">
        <v>2764</v>
      </c>
      <c r="E114" s="106"/>
      <c r="F114" s="106"/>
      <c r="G114" s="106" t="s">
        <v>2765</v>
      </c>
    </row>
    <row r="115" spans="2:7" ht="24">
      <c r="B115" s="106" t="s">
        <v>2766</v>
      </c>
      <c r="C115" s="106" t="s">
        <v>2687</v>
      </c>
      <c r="D115" s="106" t="s">
        <v>2769</v>
      </c>
      <c r="E115" s="106"/>
      <c r="F115" s="106"/>
      <c r="G115" s="108" t="s">
        <v>2771</v>
      </c>
    </row>
    <row r="116" spans="2:7" ht="14.25" customHeight="1">
      <c r="B116" s="106" t="s">
        <v>2773</v>
      </c>
      <c r="C116" s="106" t="s">
        <v>2687</v>
      </c>
      <c r="D116" s="106" t="s">
        <v>2774</v>
      </c>
      <c r="E116" s="106"/>
      <c r="F116" s="106"/>
      <c r="G116" s="108" t="s">
        <v>2775</v>
      </c>
    </row>
    <row r="117" spans="2:7">
      <c r="B117" s="106" t="s">
        <v>2776</v>
      </c>
      <c r="C117" s="106" t="s">
        <v>2687</v>
      </c>
      <c r="D117" s="106" t="s">
        <v>2777</v>
      </c>
      <c r="E117" s="106"/>
      <c r="F117" s="106"/>
      <c r="G117" s="106" t="s">
        <v>2778</v>
      </c>
    </row>
  </sheetData>
  <mergeCells count="16">
    <mergeCell ref="B10:G10"/>
    <mergeCell ref="B1:G2"/>
    <mergeCell ref="B3:G3"/>
    <mergeCell ref="E4:G4"/>
    <mergeCell ref="E5:G5"/>
    <mergeCell ref="B6:G6"/>
    <mergeCell ref="B20:G20"/>
    <mergeCell ref="B22:G22"/>
    <mergeCell ref="B51:G51"/>
    <mergeCell ref="B75:G75"/>
    <mergeCell ref="E11:G11"/>
    <mergeCell ref="B14:G14"/>
    <mergeCell ref="E15:G15"/>
    <mergeCell ref="E16:G16"/>
    <mergeCell ref="E17:G17"/>
    <mergeCell ref="E18:G18"/>
  </mergeCells>
  <phoneticPr fontId="37" type="noConversion"/>
  <pageMargins left="0.25" right="0.25" top="0.5" bottom="0.75" header="0.25" footer="0.25"/>
  <pageSetup scale="74" orientation="landscape" r:id="rId1"/>
  <headerFooter alignWithMargins="0">
    <oddHeader>&amp;L&amp;8&amp;A&amp;R&amp;8&amp;F</oddHeader>
    <oddFooter>&amp;C&amp;"Arial,Bold"- HP CONFIDENTIAL -&amp;R&amp;8Page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mary">
    <pageSetUpPr autoPageBreaks="0" fitToPage="1"/>
  </sheetPr>
  <dimension ref="A1:K34"/>
  <sheetViews>
    <sheetView showGridLines="0" showRowColHeaders="0" topLeftCell="B2" workbookViewId="0">
      <selection activeCell="H36" sqref="H36"/>
    </sheetView>
  </sheetViews>
  <sheetFormatPr defaultRowHeight="12.75"/>
  <cols>
    <col min="1" max="1" width="9.140625" hidden="1" customWidth="1"/>
    <col min="2" max="2" width="2.28515625" customWidth="1"/>
    <col min="3" max="3" width="27" bestFit="1" customWidth="1"/>
    <col min="4" max="4" width="6.42578125" bestFit="1" customWidth="1"/>
    <col min="5" max="6" width="10.7109375" customWidth="1"/>
    <col min="7" max="7" width="16.85546875" bestFit="1" customWidth="1"/>
    <col min="8" max="9" width="10.7109375" customWidth="1"/>
    <col min="10" max="10" width="16.140625" bestFit="1" customWidth="1"/>
    <col min="11" max="11" width="17.5703125" bestFit="1" customWidth="1"/>
  </cols>
  <sheetData>
    <row r="1" spans="3:11" hidden="1"/>
    <row r="2" spans="3:11" ht="16.5">
      <c r="K2" s="29" t="s">
        <v>422</v>
      </c>
    </row>
    <row r="4" spans="3:11">
      <c r="C4" s="8" t="s">
        <v>154</v>
      </c>
      <c r="D4" s="7" t="s">
        <v>104</v>
      </c>
      <c r="E4" s="7" t="s">
        <v>106</v>
      </c>
      <c r="F4" s="7" t="s">
        <v>2492</v>
      </c>
      <c r="G4" s="7" t="s">
        <v>2401</v>
      </c>
      <c r="H4" s="7" t="s">
        <v>2493</v>
      </c>
      <c r="I4" s="7" t="s">
        <v>2494</v>
      </c>
      <c r="J4" s="7" t="s">
        <v>2739</v>
      </c>
      <c r="K4" s="326" t="s">
        <v>105</v>
      </c>
    </row>
    <row r="5" spans="3:11">
      <c r="C5" s="4" t="s">
        <v>97</v>
      </c>
      <c r="D5" s="9">
        <f t="array" aca="1" ref="D5" ca="1">SUM(VALUE(F5:K5))</f>
        <v>336</v>
      </c>
      <c r="E5" s="12"/>
      <c r="F5" s="6">
        <f ca="1">IF(F$4&lt;&gt;"", INDIRECT(ADDRESS(INDIRECT(ADDRESS(1,1,,,F$4))+ROW()-ROW(F$4),INDIRECT(ADDRESS(2,1,,,F$4))+1,,,F$4)),"")</f>
        <v>113</v>
      </c>
      <c r="G5" s="6">
        <f t="shared" ref="G5:J16" ca="1" si="0">IF(G$4&lt;&gt;"", INDIRECT(ADDRESS(INDIRECT(ADDRESS(1,1,,,G$4))+ROW()-ROW(G$4),INDIRECT(ADDRESS(2,1,,,G$4))+1,,,G$4)),"")</f>
        <v>92</v>
      </c>
      <c r="H5" s="6">
        <f t="shared" ca="1" si="0"/>
        <v>21</v>
      </c>
      <c r="I5" s="6">
        <f t="shared" ca="1" si="0"/>
        <v>101</v>
      </c>
      <c r="J5" s="6">
        <f t="shared" ca="1" si="0"/>
        <v>9</v>
      </c>
      <c r="K5" s="326"/>
    </row>
    <row r="6" spans="3:11">
      <c r="C6" s="4" t="s">
        <v>96</v>
      </c>
      <c r="D6" s="9">
        <f t="array" aca="1" ref="D6" ca="1">SUM(VALUE(F6:K6))</f>
        <v>336</v>
      </c>
      <c r="E6" s="10">
        <f ca="1">IF(D$5&gt;0,D6/D$5,0)</f>
        <v>1</v>
      </c>
      <c r="F6" s="6">
        <f t="shared" ref="F6:F16" ca="1" si="1">IF(F$4&lt;&gt;"", INDIRECT(ADDRESS(INDIRECT(ADDRESS(1,1,,,F$4))+ROW()-ROW(F$4),INDIRECT(ADDRESS(2,1,,,F$4))+1,,,F$4)),"")</f>
        <v>113</v>
      </c>
      <c r="G6" s="6">
        <f t="shared" ca="1" si="0"/>
        <v>92</v>
      </c>
      <c r="H6" s="6">
        <f t="shared" ca="1" si="0"/>
        <v>21</v>
      </c>
      <c r="I6" s="6">
        <f t="shared" ca="1" si="0"/>
        <v>101</v>
      </c>
      <c r="J6" s="6">
        <f t="shared" ca="1" si="0"/>
        <v>9</v>
      </c>
      <c r="K6" s="326"/>
    </row>
    <row r="7" spans="3:11">
      <c r="C7" s="4" t="s">
        <v>150</v>
      </c>
      <c r="D7" s="9">
        <f t="array" aca="1" ref="D7" ca="1">SUM(VALUE(F7:K7))</f>
        <v>201</v>
      </c>
      <c r="E7" s="10">
        <f ca="1">IF(D$5&gt;0,D7/D$5,0)</f>
        <v>0.5982142857142857</v>
      </c>
      <c r="F7" s="6">
        <f t="shared" ca="1" si="1"/>
        <v>0</v>
      </c>
      <c r="G7" s="6">
        <f t="shared" ca="1" si="0"/>
        <v>92</v>
      </c>
      <c r="H7" s="6">
        <f t="shared" ca="1" si="0"/>
        <v>18</v>
      </c>
      <c r="I7" s="6">
        <f t="shared" ca="1" si="0"/>
        <v>82</v>
      </c>
      <c r="J7" s="6">
        <f t="shared" ca="1" si="0"/>
        <v>9</v>
      </c>
      <c r="K7" s="326"/>
    </row>
    <row r="8" spans="3:11">
      <c r="C8" s="4"/>
      <c r="D8" s="5"/>
      <c r="E8" s="11"/>
      <c r="F8" s="6"/>
      <c r="G8" s="6"/>
      <c r="H8" s="6"/>
      <c r="I8" s="6"/>
      <c r="J8" s="6"/>
      <c r="K8" s="326"/>
    </row>
    <row r="9" spans="3:11">
      <c r="C9" s="4" t="s">
        <v>89</v>
      </c>
      <c r="D9" s="13">
        <f t="array" aca="1" ref="D9" ca="1">SUM(VALUE(IF(ISERR(FIND("(", F9:K9)), IF(ISNUMBER(F9:K9), F9:K9, 0), LEFT(F9:K9, FIND("(", F9:K9)-1))))</f>
        <v>110</v>
      </c>
      <c r="E9" s="14">
        <f ca="1">IF(D$6&gt;0,D9/D$6,0)</f>
        <v>0.32738095238095238</v>
      </c>
      <c r="F9" s="6" t="str">
        <f t="shared" ca="1" si="1"/>
        <v>101 (89.4%)</v>
      </c>
      <c r="G9" s="6" t="str">
        <f t="shared" ca="1" si="0"/>
        <v>0 (0.0%)</v>
      </c>
      <c r="H9" s="6" t="str">
        <f t="shared" ca="1" si="0"/>
        <v>2 (9.5%)</v>
      </c>
      <c r="I9" s="6" t="str">
        <f t="shared" ca="1" si="0"/>
        <v>7 (6.9%)</v>
      </c>
      <c r="J9" s="6" t="str">
        <f t="shared" ca="1" si="0"/>
        <v>0 (0.0%)</v>
      </c>
      <c r="K9" s="326"/>
    </row>
    <row r="10" spans="3:11">
      <c r="C10" s="4" t="s">
        <v>90</v>
      </c>
      <c r="D10" s="13">
        <f t="array" aca="1" ref="D10" ca="1">SUM(VALUE(IF(ISERR(FIND("(", F10:K10)), IF(ISNUMBER(F10:K10), F10:K10, 0), LEFT(F10:K10, FIND("(", F10:K10)-1))))</f>
        <v>1</v>
      </c>
      <c r="E10" s="14">
        <f ca="1">IF(D$6&gt;0,D10/D$6,0)</f>
        <v>2.976190476190476E-3</v>
      </c>
      <c r="F10" s="6" t="str">
        <f t="shared" ca="1" si="1"/>
        <v>1 (0.9%)</v>
      </c>
      <c r="G10" s="6" t="str">
        <f t="shared" ca="1" si="0"/>
        <v>0 (0.0%)</v>
      </c>
      <c r="H10" s="6" t="str">
        <f t="shared" ca="1" si="0"/>
        <v>0 (0.0%)</v>
      </c>
      <c r="I10" s="6" t="str">
        <f t="shared" ca="1" si="0"/>
        <v>0 (0.0%)</v>
      </c>
      <c r="J10" s="6" t="str">
        <f t="shared" ca="1" si="0"/>
        <v>0 (0.0%)</v>
      </c>
      <c r="K10" s="326"/>
    </row>
    <row r="11" spans="3:11">
      <c r="C11" s="4" t="s">
        <v>91</v>
      </c>
      <c r="D11" s="15">
        <f t="array" aca="1" ref="D11" ca="1">SUM(VALUE(IF(ISERR(FIND("(", F11:K11)), IF(ISNUMBER(F11:K11), F11:K11, 0), LEFT(F11:K11, FIND("(", F11:K11)-1))))</f>
        <v>0</v>
      </c>
      <c r="E11" s="16">
        <f ca="1">IF(D$6&gt;0,D11/D$6,0)</f>
        <v>0</v>
      </c>
      <c r="F11" s="6" t="str">
        <f t="shared" ca="1" si="1"/>
        <v>0 (0.0%)</v>
      </c>
      <c r="G11" s="6" t="str">
        <f t="shared" ca="1" si="0"/>
        <v>0 (0.0%)</v>
      </c>
      <c r="H11" s="6" t="str">
        <f t="shared" ca="1" si="0"/>
        <v>0 (0.0%)</v>
      </c>
      <c r="I11" s="6" t="str">
        <f t="shared" ca="1" si="0"/>
        <v>0 (0.0%)</v>
      </c>
      <c r="J11" s="6" t="str">
        <f t="shared" ca="1" si="0"/>
        <v>0 (0.0%)</v>
      </c>
      <c r="K11" s="326"/>
    </row>
    <row r="12" spans="3:11">
      <c r="C12" s="4" t="s">
        <v>92</v>
      </c>
      <c r="D12" s="15">
        <f t="array" aca="1" ref="D12" ca="1">SUM(VALUE(IF(ISERR(FIND("(", F12:K12)), IF(ISNUMBER(F12:K12), F12:K12, 0), LEFT(F12:K12, FIND("(", F12:K12)-1))))</f>
        <v>0</v>
      </c>
      <c r="E12" s="16">
        <f ca="1">IF(D$6&gt;0,D12/D$6,0)</f>
        <v>0</v>
      </c>
      <c r="F12" s="6" t="str">
        <f t="shared" ca="1" si="1"/>
        <v>0 (0.0%)</v>
      </c>
      <c r="G12" s="6" t="str">
        <f t="shared" ca="1" si="0"/>
        <v>0 (0.0%)</v>
      </c>
      <c r="H12" s="6" t="str">
        <f t="shared" ca="1" si="0"/>
        <v>0 (0.0%)</v>
      </c>
      <c r="I12" s="6" t="str">
        <f t="shared" ca="1" si="0"/>
        <v>0 (0.0%)</v>
      </c>
      <c r="J12" s="6" t="str">
        <f t="shared" ca="1" si="0"/>
        <v>0 (0.0%)</v>
      </c>
      <c r="K12" s="326"/>
    </row>
    <row r="13" spans="3:11">
      <c r="C13" s="4" t="s">
        <v>95</v>
      </c>
      <c r="D13" s="15">
        <f t="array" aca="1" ref="D13" ca="1">SUM(VALUE(IF(ISERR(FIND("(", F13:K13)), IF(ISNUMBER(F13:K13), F13:K13, 0), LEFT(F13:K13, FIND("(", F13:K13)-1))))</f>
        <v>24</v>
      </c>
      <c r="E13" s="16">
        <f ca="1">IF(D$6&gt;0,D13/D$6,0)</f>
        <v>7.1428571428571425E-2</v>
      </c>
      <c r="F13" s="6" t="str">
        <f t="shared" ca="1" si="1"/>
        <v>11 (9.7%)</v>
      </c>
      <c r="G13" s="6" t="str">
        <f t="shared" ca="1" si="0"/>
        <v>0 (0.0%)</v>
      </c>
      <c r="H13" s="6" t="str">
        <f t="shared" ca="1" si="0"/>
        <v>1 (4.8%)</v>
      </c>
      <c r="I13" s="6" t="str">
        <f t="shared" ca="1" si="0"/>
        <v>12 (11.9%)</v>
      </c>
      <c r="J13" s="6" t="str">
        <f t="shared" ca="1" si="0"/>
        <v>0 (0.0%)</v>
      </c>
      <c r="K13" s="326"/>
    </row>
    <row r="14" spans="3:11">
      <c r="C14" s="4"/>
      <c r="D14" s="5"/>
      <c r="E14" s="11"/>
      <c r="F14" s="6"/>
      <c r="G14" s="6"/>
      <c r="H14" s="6"/>
      <c r="I14" s="6"/>
      <c r="J14" s="6"/>
      <c r="K14" s="326"/>
    </row>
    <row r="15" spans="3:11">
      <c r="C15" s="4" t="s">
        <v>93</v>
      </c>
      <c r="D15" s="9">
        <f t="array" aca="1" ref="D15" ca="1">SUM(VALUE(IF(ISERR(FIND("(", F15:K15)), IF(ISNUMBER(F15:K15), F15:K15, 0), LEFT(F15:K15, FIND("(", F15:K15)-1))))</f>
        <v>0</v>
      </c>
      <c r="E15" s="10">
        <f ca="1">IF(D$5&gt;0,D15/D$5,0)</f>
        <v>0</v>
      </c>
      <c r="F15" s="6" t="str">
        <f t="shared" ca="1" si="1"/>
        <v>0 (0.0%)</v>
      </c>
      <c r="G15" s="6" t="str">
        <f t="shared" ca="1" si="0"/>
        <v>0 (0.0%)</v>
      </c>
      <c r="H15" s="6" t="str">
        <f t="shared" ca="1" si="0"/>
        <v>0 (0.0%)</v>
      </c>
      <c r="I15" s="6" t="str">
        <f t="shared" ca="1" si="0"/>
        <v>0 (0.0%)</v>
      </c>
      <c r="J15" s="6" t="str">
        <f t="shared" ca="1" si="0"/>
        <v>0 (0.0%)</v>
      </c>
      <c r="K15" s="326"/>
    </row>
    <row r="16" spans="3:11">
      <c r="C16" s="4" t="s">
        <v>94</v>
      </c>
      <c r="D16" s="9">
        <f t="array" aca="1" ref="D16" ca="1">SUM(VALUE(IF(ISERR(FIND("(", F16:K16)), IF(ISNUMBER(F16:K16), F16:K16, 0), LEFT(F16:K16, FIND("(", F16:K16)-1))))</f>
        <v>0</v>
      </c>
      <c r="E16" s="10">
        <f ca="1">IF(D$5&gt;0,D16/D$5,0)</f>
        <v>0</v>
      </c>
      <c r="F16" s="6" t="str">
        <f t="shared" ca="1" si="1"/>
        <v>0 (0.0%)</v>
      </c>
      <c r="G16" s="6" t="str">
        <f t="shared" ca="1" si="0"/>
        <v>0 (0.0%)</v>
      </c>
      <c r="H16" s="6" t="str">
        <f t="shared" ca="1" si="0"/>
        <v>0 (0.0%)</v>
      </c>
      <c r="I16" s="6" t="str">
        <f t="shared" ca="1" si="0"/>
        <v>0 (0.0%)</v>
      </c>
      <c r="J16" s="6" t="str">
        <f t="shared" ca="1" si="0"/>
        <v>0 (0.0%)</v>
      </c>
      <c r="K16" s="326"/>
    </row>
    <row r="17" spans="3:10">
      <c r="F17" s="1"/>
      <c r="G17" s="1"/>
      <c r="H17" s="1"/>
      <c r="I17" s="1"/>
    </row>
    <row r="18" spans="3:10" hidden="1">
      <c r="C18" s="8" t="s">
        <v>155</v>
      </c>
      <c r="D18" s="7" t="s">
        <v>104</v>
      </c>
      <c r="E18" s="7" t="s">
        <v>106</v>
      </c>
      <c r="F18" s="7" t="s">
        <v>2492</v>
      </c>
      <c r="G18" s="7" t="s">
        <v>2401</v>
      </c>
      <c r="H18" s="7" t="s">
        <v>2493</v>
      </c>
      <c r="I18" s="7" t="s">
        <v>2494</v>
      </c>
      <c r="J18" s="326" t="s">
        <v>105</v>
      </c>
    </row>
    <row r="19" spans="3:10" hidden="1">
      <c r="C19" s="4" t="s">
        <v>97</v>
      </c>
      <c r="D19" s="9">
        <f t="array" aca="1" ref="D19" ca="1">SUM(VALUE(F19:J19))</f>
        <v>654</v>
      </c>
      <c r="E19" s="12"/>
      <c r="F19" s="6">
        <f ca="1">IF(F$18&lt;&gt;"", INDIRECT(ADDRESS(INDIRECT(ADDRESS(1,1,,,F$18))+ROW()-ROW(F$18),INDIRECT(ADDRESS(3,1,,,F$18)),,,F$18)),"")</f>
        <v>226</v>
      </c>
      <c r="G19" s="6">
        <f t="shared" ref="G19:I21" ca="1" si="2">IF(G$18&lt;&gt;"", INDIRECT(ADDRESS(INDIRECT(ADDRESS(1,1,,,G$18))+ROW()-ROW(G$18),INDIRECT(ADDRESS(3,1,,,G$18)),,,G$18)),"")</f>
        <v>184</v>
      </c>
      <c r="H19" s="6">
        <f t="shared" ca="1" si="2"/>
        <v>42</v>
      </c>
      <c r="I19" s="6">
        <f t="shared" ca="1" si="2"/>
        <v>202</v>
      </c>
      <c r="J19" s="326"/>
    </row>
    <row r="20" spans="3:10" hidden="1">
      <c r="C20" s="4" t="s">
        <v>96</v>
      </c>
      <c r="D20" s="9">
        <f t="array" aca="1" ref="D20" ca="1">SUM(VALUE(F20:J20))</f>
        <v>632</v>
      </c>
      <c r="E20" s="10">
        <f ca="1">IF(D$19&gt;0,D20/D$19,0)</f>
        <v>0.96636085626911317</v>
      </c>
      <c r="F20" s="6">
        <f ca="1">IF(F$18&lt;&gt;"", INDIRECT(ADDRESS(INDIRECT(ADDRESS(1,1,,,F$18))+ROW()-ROW(F$18),INDIRECT(ADDRESS(3,1,,,F$18)),,,F$18)),"")</f>
        <v>226</v>
      </c>
      <c r="G20" s="6">
        <f t="shared" ca="1" si="2"/>
        <v>184</v>
      </c>
      <c r="H20" s="6">
        <f t="shared" ca="1" si="2"/>
        <v>39</v>
      </c>
      <c r="I20" s="6">
        <f t="shared" ca="1" si="2"/>
        <v>183</v>
      </c>
      <c r="J20" s="326"/>
    </row>
    <row r="21" spans="3:10" hidden="1">
      <c r="C21" s="4" t="s">
        <v>150</v>
      </c>
      <c r="D21" s="9">
        <f t="array" aca="1" ref="D21" ca="1">SUM(VALUE(F21:J21))</f>
        <v>301</v>
      </c>
      <c r="E21" s="10">
        <f ca="1">IF(D$19&gt;0,D21/D$19,0)</f>
        <v>0.46024464831804279</v>
      </c>
      <c r="F21" s="6">
        <f ca="1">IF(F$18&lt;&gt;"", INDIRECT(ADDRESS(INDIRECT(ADDRESS(1,1,,,F$18))+ROW()-ROW(F$18),INDIRECT(ADDRESS(3,1,,,F$18)),,,F$18)),"")</f>
        <v>0</v>
      </c>
      <c r="G21" s="6">
        <f t="shared" ca="1" si="2"/>
        <v>108</v>
      </c>
      <c r="H21" s="6">
        <f t="shared" ca="1" si="2"/>
        <v>36</v>
      </c>
      <c r="I21" s="6">
        <f t="shared" ca="1" si="2"/>
        <v>157</v>
      </c>
      <c r="J21" s="326"/>
    </row>
    <row r="22" spans="3:10" hidden="1">
      <c r="C22" s="4"/>
      <c r="D22" s="5"/>
      <c r="E22" s="11"/>
      <c r="F22" s="6"/>
      <c r="G22" s="6"/>
      <c r="H22" s="6"/>
      <c r="I22" s="6"/>
      <c r="J22" s="326"/>
    </row>
    <row r="23" spans="3:10" hidden="1">
      <c r="C23" s="4" t="s">
        <v>89</v>
      </c>
      <c r="D23" s="13">
        <f t="array" aca="1" ref="D23" ca="1">SUM(VALUE(IF(ISERR(FIND("(", F23:J23)), IF(ISNUMBER(F23:J23), F23:J23, 0), LEFT(F23:J23, FIND("(", F23:J23)-1))))</f>
        <v>208</v>
      </c>
      <c r="E23" s="14">
        <f ca="1">IF(D$20&gt;0,D23/D$20,0)</f>
        <v>0.32911392405063289</v>
      </c>
      <c r="F23" s="6">
        <f ca="1">IF(F$18&lt;&gt;"", INDIRECT(ADDRESS(INDIRECT(ADDRESS(1,1,,,F$18))+ROW()-ROW(F$18),INDIRECT(ADDRESS(3,1,,,F$18)),,,F$18)),"")</f>
        <v>160</v>
      </c>
      <c r="G23" s="6">
        <f t="shared" ref="G23:I27" ca="1" si="3">IF(G$18&lt;&gt;"", INDIRECT(ADDRESS(INDIRECT(ADDRESS(1,1,,,G$18))+ROW()-ROW(G$18),INDIRECT(ADDRESS(3,1,,,G$18)),,,G$18)),"")</f>
        <v>35</v>
      </c>
      <c r="H23" s="6">
        <f t="shared" ca="1" si="3"/>
        <v>2</v>
      </c>
      <c r="I23" s="6">
        <f t="shared" ca="1" si="3"/>
        <v>11</v>
      </c>
      <c r="J23" s="326"/>
    </row>
    <row r="24" spans="3:10" hidden="1">
      <c r="C24" s="4" t="s">
        <v>90</v>
      </c>
      <c r="D24" s="13">
        <f t="array" aca="1" ref="D24" ca="1">SUM(VALUE(IF(ISERR(FIND("(", F24:J24)), IF(ISNUMBER(F24:J24), F24:J24, 0), LEFT(F24:J24, FIND("(", F24:J24)-1))))</f>
        <v>11</v>
      </c>
      <c r="E24" s="14">
        <f ca="1">IF(D$20&gt;0,D24/D$20,0)</f>
        <v>1.740506329113924E-2</v>
      </c>
      <c r="F24" s="6">
        <f ca="1">IF(F$18&lt;&gt;"", INDIRECT(ADDRESS(INDIRECT(ADDRESS(1,1,,,F$18))+ROW()-ROW(F$18),INDIRECT(ADDRESS(3,1,,,F$18)),,,F$18)),"")</f>
        <v>3</v>
      </c>
      <c r="G24" s="6">
        <f t="shared" ca="1" si="3"/>
        <v>7</v>
      </c>
      <c r="H24" s="6">
        <f t="shared" ca="1" si="3"/>
        <v>0</v>
      </c>
      <c r="I24" s="6">
        <f t="shared" ca="1" si="3"/>
        <v>1</v>
      </c>
      <c r="J24" s="326"/>
    </row>
    <row r="25" spans="3:10" hidden="1">
      <c r="C25" s="4" t="s">
        <v>91</v>
      </c>
      <c r="D25" s="15">
        <f t="array" aca="1" ref="D25" ca="1">SUM(VALUE(IF(ISERR(FIND("(", F25:J25)), IF(ISNUMBER(F25:J25), F25:J25, 0), LEFT(F25:J25, FIND("(", F25:J25)-1))))</f>
        <v>0</v>
      </c>
      <c r="E25" s="16">
        <f ca="1">IF(D$20&gt;0,D25/D$20,0)</f>
        <v>0</v>
      </c>
      <c r="F25" s="6">
        <f ca="1">IF(F$18&lt;&gt;"", INDIRECT(ADDRESS(INDIRECT(ADDRESS(1,1,,,F$18))+ROW()-ROW(F$18),INDIRECT(ADDRESS(3,1,,,F$18)),,,F$18)),"")</f>
        <v>0</v>
      </c>
      <c r="G25" s="6">
        <f t="shared" ca="1" si="3"/>
        <v>0</v>
      </c>
      <c r="H25" s="6">
        <f t="shared" ca="1" si="3"/>
        <v>0</v>
      </c>
      <c r="I25" s="6">
        <f t="shared" ca="1" si="3"/>
        <v>0</v>
      </c>
      <c r="J25" s="326"/>
    </row>
    <row r="26" spans="3:10" hidden="1">
      <c r="C26" s="4" t="s">
        <v>92</v>
      </c>
      <c r="D26" s="15">
        <f t="array" aca="1" ref="D26" ca="1">SUM(VALUE(IF(ISERR(FIND("(", F26:J26)), IF(ISNUMBER(F26:J26), F26:J26, 0), LEFT(F26:J26, FIND("(", F26:J26)-1))))</f>
        <v>1</v>
      </c>
      <c r="E26" s="16">
        <f ca="1">IF(D$20&gt;0,D26/D$20,0)</f>
        <v>1.5822784810126582E-3</v>
      </c>
      <c r="F26" s="6">
        <f ca="1">IF(F$18&lt;&gt;"", INDIRECT(ADDRESS(INDIRECT(ADDRESS(1,1,,,F$18))+ROW()-ROW(F$18),INDIRECT(ADDRESS(3,1,,,F$18)),,,F$18)),"")</f>
        <v>0</v>
      </c>
      <c r="G26" s="6">
        <f t="shared" ca="1" si="3"/>
        <v>1</v>
      </c>
      <c r="H26" s="6">
        <f t="shared" ca="1" si="3"/>
        <v>0</v>
      </c>
      <c r="I26" s="6">
        <f t="shared" ca="1" si="3"/>
        <v>0</v>
      </c>
      <c r="J26" s="326"/>
    </row>
    <row r="27" spans="3:10" hidden="1">
      <c r="C27" s="4" t="s">
        <v>95</v>
      </c>
      <c r="D27" s="15">
        <f t="array" aca="1" ref="D27" ca="1">SUM(VALUE(IF(ISERR(FIND("(", F27:J27)), IF(ISNUMBER(F27:J27), F27:J27, 0), LEFT(F27:J27, FIND("(", F27:J27)-1))))</f>
        <v>111</v>
      </c>
      <c r="E27" s="16">
        <f ca="1">IF(D$20&gt;0,D27/D$20,0)</f>
        <v>0.17563291139240506</v>
      </c>
      <c r="F27" s="6">
        <f ca="1">IF(F$18&lt;&gt;"", INDIRECT(ADDRESS(INDIRECT(ADDRESS(1,1,,,F$18))+ROW()-ROW(F$18),INDIRECT(ADDRESS(3,1,,,F$18)),,,F$18)),"")</f>
        <v>63</v>
      </c>
      <c r="G27" s="6">
        <f t="shared" ca="1" si="3"/>
        <v>33</v>
      </c>
      <c r="H27" s="6">
        <f t="shared" ca="1" si="3"/>
        <v>1</v>
      </c>
      <c r="I27" s="6">
        <f t="shared" ca="1" si="3"/>
        <v>14</v>
      </c>
      <c r="J27" s="326"/>
    </row>
    <row r="28" spans="3:10" hidden="1">
      <c r="C28" s="4"/>
      <c r="D28" s="5"/>
      <c r="E28" s="11"/>
      <c r="F28" s="6"/>
      <c r="G28" s="6"/>
      <c r="H28" s="6"/>
      <c r="I28" s="6"/>
      <c r="J28" s="326"/>
    </row>
    <row r="29" spans="3:10" hidden="1">
      <c r="C29" s="4" t="s">
        <v>93</v>
      </c>
      <c r="D29" s="9">
        <f t="array" aca="1" ref="D29" ca="1">SUM(VALUE(IF(ISERR(FIND("(", F29:J29)), IF(ISNUMBER(F29:J29), F29:J29, 0), LEFT(F29:J29, FIND("(", F29:J29)-1))))</f>
        <v>0</v>
      </c>
      <c r="E29" s="10">
        <f ca="1">IF(D$19&gt;0,D29/D$19,0)</f>
        <v>0</v>
      </c>
      <c r="F29" s="6">
        <f t="shared" ref="F29:I30" ca="1" si="4">IF(F$18&lt;&gt;"", INDIRECT(ADDRESS(INDIRECT(ADDRESS(1,1,,,F$18))+ROW()-ROW(F$18),INDIRECT(ADDRESS(3,1,,,F$18)),,,F$18)),"")</f>
        <v>0</v>
      </c>
      <c r="G29" s="6">
        <f t="shared" ca="1" si="4"/>
        <v>0</v>
      </c>
      <c r="H29" s="6">
        <f t="shared" ca="1" si="4"/>
        <v>0</v>
      </c>
      <c r="I29" s="6">
        <f t="shared" ca="1" si="4"/>
        <v>0</v>
      </c>
      <c r="J29" s="326"/>
    </row>
    <row r="30" spans="3:10" hidden="1">
      <c r="C30" s="4" t="s">
        <v>94</v>
      </c>
      <c r="D30" s="9">
        <f t="array" aca="1" ref="D30" ca="1">SUM(VALUE(IF(ISERR(FIND("(", F30:J30)), IF(ISNUMBER(F30:J30), F30:J30, 0), LEFT(F30:J30, FIND("(", F30:J30)-1))))</f>
        <v>0</v>
      </c>
      <c r="E30" s="10">
        <f ca="1">IF(D$19&gt;0,D30/D$19,0)</f>
        <v>0</v>
      </c>
      <c r="F30" s="6">
        <f t="shared" ca="1" si="4"/>
        <v>0</v>
      </c>
      <c r="G30" s="6">
        <f t="shared" ca="1" si="4"/>
        <v>0</v>
      </c>
      <c r="H30" s="6">
        <f t="shared" ca="1" si="4"/>
        <v>0</v>
      </c>
      <c r="I30" s="6">
        <f t="shared" ca="1" si="4"/>
        <v>0</v>
      </c>
      <c r="J30" s="326"/>
    </row>
    <row r="32" spans="3:10">
      <c r="C32" s="8" t="s">
        <v>172</v>
      </c>
      <c r="D32" s="7" t="s">
        <v>173</v>
      </c>
      <c r="E32" s="7" t="s">
        <v>174</v>
      </c>
    </row>
    <row r="33" spans="3:5">
      <c r="C33" s="4" t="s">
        <v>175</v>
      </c>
      <c r="D33" s="26"/>
      <c r="E33" s="26"/>
    </row>
    <row r="34" spans="3:5">
      <c r="C34" s="4" t="s">
        <v>176</v>
      </c>
      <c r="D34" s="26"/>
      <c r="E34" s="26"/>
    </row>
  </sheetData>
  <sheetProtection password="CF6D" sheet="1" objects="1" scenarios="1"/>
  <customSheetViews>
    <customSheetView guid="{4ECC98B7-8F7E-48B2-BF78-0C8168954CF5}" showGridLines="0" showRowCol="0" fitToPage="1" hiddenRows="1" hiddenColumns="1" showRuler="0" topLeftCell="B2">
      <selection activeCell="B2" sqref="B2"/>
      <pageMargins left="0.25" right="0.25" top="0.5" bottom="0.75" header="0.25" footer="0.25"/>
      <pageSetup scale="74" orientation="landscape" r:id="rId1"/>
      <headerFooter alignWithMargins="0">
        <oddHeader>&amp;L&amp;8&amp;A&amp;R&amp;8&amp;F</oddHeader>
        <oddFooter>&amp;C&amp;"Arial,Bold"- HP CONFIDENTIAL -&amp;R&amp;8Page &amp;P of &amp;N</oddFooter>
      </headerFooter>
    </customSheetView>
  </customSheetViews>
  <mergeCells count="2">
    <mergeCell ref="K4:K16"/>
    <mergeCell ref="J18:J30"/>
  </mergeCells>
  <phoneticPr fontId="2" type="noConversion"/>
  <pageMargins left="0.25" right="0.25" top="0.5" bottom="0.75" header="0.25" footer="0.25"/>
  <pageSetup scale="74" orientation="landscape" r:id="rId2"/>
  <headerFooter alignWithMargins="0">
    <oddHeader>&amp;L&amp;8&amp;A&amp;R&amp;8&amp;F</oddHeader>
    <oddFooter>&amp;C&amp;"Arial,Bold"- HP CONFIDENTIAL -&amp;R&amp;8Page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Publish">
                <anchor moveWithCells="1" sizeWithCells="1">
                  <from>
                    <xdr:col>2</xdr:col>
                    <xdr:colOff>9525</xdr:colOff>
                    <xdr:row>1</xdr:row>
                    <xdr:rowOff>57150</xdr:rowOff>
                  </from>
                  <to>
                    <xdr:col>2</xdr:col>
                    <xdr:colOff>904875</xdr:colOff>
                    <xdr:row>2</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Results11">
    <outlinePr summaryBelow="0" summaryRight="0"/>
    <pageSetUpPr autoPageBreaks="0" fitToPage="1"/>
  </sheetPr>
  <dimension ref="A1:M198"/>
  <sheetViews>
    <sheetView showGridLines="0" tabSelected="1" zoomScale="90" zoomScaleNormal="90" workbookViewId="0">
      <pane xSplit="3" ySplit="7" topLeftCell="D18" activePane="bottomRight" state="frozen"/>
      <selection activeCell="E36" sqref="E36"/>
      <selection pane="topRight" activeCell="E36" sqref="E36"/>
      <selection pane="bottomLeft" activeCell="E36" sqref="E36"/>
      <selection pane="bottomRight" activeCell="E47" sqref="E47"/>
    </sheetView>
  </sheetViews>
  <sheetFormatPr defaultRowHeight="12.75"/>
  <cols>
    <col min="1" max="1" width="4" style="120" hidden="1" customWidth="1"/>
    <col min="2" max="2" width="2.7109375" style="120" customWidth="1"/>
    <col min="3" max="3" width="96" style="120" customWidth="1"/>
    <col min="4" max="4" width="10.7109375" style="120" customWidth="1"/>
    <col min="5" max="5" width="45.7109375" style="120" customWidth="1"/>
    <col min="6" max="6" width="17.5703125" style="120" hidden="1" customWidth="1"/>
    <col min="7" max="7" width="45.7109375" style="120" customWidth="1"/>
    <col min="8" max="8" width="17.5703125" style="120" hidden="1" customWidth="1"/>
    <col min="9" max="16384" width="9.140625" style="120"/>
  </cols>
  <sheetData>
    <row r="1" spans="1:9" ht="23.25" hidden="1" customHeight="1">
      <c r="A1" s="120">
        <f>ROW(C186)</f>
        <v>186</v>
      </c>
    </row>
    <row r="2" spans="1:9">
      <c r="A2" s="120">
        <f>COLUMN(C186)</f>
        <v>3</v>
      </c>
      <c r="C2" s="121" t="s">
        <v>2480</v>
      </c>
      <c r="E2" s="122" t="str">
        <f>TT_LOCK(0)</f>
        <v/>
      </c>
      <c r="G2" s="357" t="str">
        <f>TT_LOCK(4)</f>
        <v>***RESULTS LOCKED***</v>
      </c>
    </row>
    <row r="3" spans="1:9">
      <c r="A3" s="120">
        <f>COLUMN(J186)</f>
        <v>10</v>
      </c>
      <c r="C3" s="123" t="str">
        <f>TT_CFG("System Bios")</f>
        <v>System Bios</v>
      </c>
      <c r="E3" s="333">
        <v>0.46</v>
      </c>
      <c r="F3" s="334"/>
      <c r="G3" s="333">
        <v>0.45</v>
      </c>
      <c r="H3" s="334"/>
      <c r="I3" s="124"/>
    </row>
    <row r="4" spans="1:9">
      <c r="C4" s="123" t="str">
        <f>TT_CFG("Kbc")</f>
        <v>Kbc</v>
      </c>
      <c r="E4" s="333" t="s">
        <v>2995</v>
      </c>
      <c r="F4" s="334"/>
      <c r="G4" s="333">
        <v>45.09</v>
      </c>
      <c r="H4" s="334"/>
      <c r="I4" s="124"/>
    </row>
    <row r="5" spans="1:9">
      <c r="C5" s="123" t="str">
        <f>TT_CFG("Me Version")</f>
        <v>Me Version</v>
      </c>
      <c r="E5" s="333" t="s">
        <v>3000</v>
      </c>
      <c r="F5" s="334"/>
      <c r="G5" s="333" t="s">
        <v>2792</v>
      </c>
      <c r="H5" s="334"/>
      <c r="I5" s="124"/>
    </row>
    <row r="6" spans="1:9">
      <c r="I6" s="125"/>
    </row>
    <row r="7" spans="1:9">
      <c r="C7" s="126" t="str">
        <f>TT_CFG("UserLabel")</f>
        <v>Configuration ID</v>
      </c>
      <c r="D7" s="127"/>
      <c r="E7" s="335" t="s">
        <v>2793</v>
      </c>
      <c r="F7" s="336"/>
      <c r="G7" s="335" t="s">
        <v>2793</v>
      </c>
      <c r="H7" s="336"/>
      <c r="I7" s="124"/>
    </row>
    <row r="8" spans="1:9" ht="12.75" customHeight="1">
      <c r="C8" s="128" t="str">
        <f>TT_CFG("Unit Id")</f>
        <v>Unit Id</v>
      </c>
      <c r="D8" s="127"/>
      <c r="E8" s="329" t="s">
        <v>2779</v>
      </c>
      <c r="F8" s="328"/>
      <c r="G8" s="329" t="s">
        <v>2779</v>
      </c>
      <c r="H8" s="328"/>
      <c r="I8" s="124"/>
    </row>
    <row r="9" spans="1:9" ht="12.75" customHeight="1">
      <c r="C9" s="128" t="str">
        <f>TT_CFG("System Board")</f>
        <v>System Board</v>
      </c>
      <c r="D9" s="127"/>
      <c r="E9" s="329" t="s">
        <v>2780</v>
      </c>
      <c r="F9" s="328"/>
      <c r="G9" s="329" t="s">
        <v>2780</v>
      </c>
      <c r="H9" s="328"/>
      <c r="I9" s="124" t="s">
        <v>2787</v>
      </c>
    </row>
    <row r="10" spans="1:9" ht="12.75" customHeight="1">
      <c r="C10" s="128" t="str">
        <f>TT_CFG("Processor")</f>
        <v>Processor</v>
      </c>
      <c r="D10" s="127"/>
      <c r="E10" s="329" t="s">
        <v>2781</v>
      </c>
      <c r="F10" s="328"/>
      <c r="G10" s="329" t="s">
        <v>2781</v>
      </c>
      <c r="H10" s="328"/>
      <c r="I10" s="124"/>
    </row>
    <row r="11" spans="1:9" ht="12.75" customHeight="1">
      <c r="C11" s="128" t="str">
        <f>TT_CFG("Video Architecture")</f>
        <v>Video Architecture</v>
      </c>
      <c r="D11" s="127"/>
      <c r="E11" s="329" t="s">
        <v>183</v>
      </c>
      <c r="F11" s="328"/>
      <c r="G11" s="329" t="s">
        <v>183</v>
      </c>
      <c r="H11" s="328"/>
      <c r="I11" s="124"/>
    </row>
    <row r="12" spans="1:9" ht="12.75" customHeight="1">
      <c r="C12" s="128" t="str">
        <f>TT_CFG("Graphics")</f>
        <v>Graphics</v>
      </c>
      <c r="D12" s="127"/>
      <c r="E12" s="329" t="s">
        <v>1820</v>
      </c>
      <c r="F12" s="328"/>
      <c r="G12" s="329" t="s">
        <v>1820</v>
      </c>
      <c r="H12" s="328"/>
      <c r="I12" s="124"/>
    </row>
    <row r="13" spans="1:9" ht="12.75" customHeight="1">
      <c r="C13" s="128" t="str">
        <f>TT_CFG("Vram")</f>
        <v>Vram</v>
      </c>
      <c r="D13" s="127"/>
      <c r="E13" s="329" t="s">
        <v>166</v>
      </c>
      <c r="F13" s="328"/>
      <c r="G13" s="329" t="s">
        <v>166</v>
      </c>
      <c r="H13" s="328"/>
      <c r="I13" s="124"/>
    </row>
    <row r="14" spans="1:9" ht="12.75" customHeight="1">
      <c r="C14" s="128" t="str">
        <f>TT_CFG("Display Panel")</f>
        <v>Display Panel</v>
      </c>
      <c r="D14" s="127"/>
      <c r="E14" s="329" t="s">
        <v>1819</v>
      </c>
      <c r="F14" s="328"/>
      <c r="G14" s="329" t="s">
        <v>1819</v>
      </c>
      <c r="H14" s="328"/>
      <c r="I14" s="124"/>
    </row>
    <row r="15" spans="1:9" ht="12.75" customHeight="1">
      <c r="C15" s="128" t="str">
        <f>TT_CFG("Memory Slot 1")</f>
        <v>Memory Slot 1</v>
      </c>
      <c r="D15" s="127"/>
      <c r="E15" s="329" t="s">
        <v>2782</v>
      </c>
      <c r="F15" s="328"/>
      <c r="G15" s="329" t="s">
        <v>2782</v>
      </c>
      <c r="H15" s="328"/>
      <c r="I15" s="124"/>
    </row>
    <row r="16" spans="1:9" ht="12.75" customHeight="1">
      <c r="C16" s="128" t="str">
        <f>TT_CFG("Memory Slot 2")</f>
        <v>Memory Slot 2</v>
      </c>
      <c r="D16" s="127"/>
      <c r="E16" s="329" t="s">
        <v>166</v>
      </c>
      <c r="F16" s="328"/>
      <c r="G16" s="329" t="s">
        <v>166</v>
      </c>
      <c r="H16" s="328"/>
      <c r="I16" s="124"/>
    </row>
    <row r="17" spans="3:9" ht="12.75" customHeight="1">
      <c r="C17" s="128" t="str">
        <f>TT_CFG("Memory Slot 3")</f>
        <v>Memory Slot 3</v>
      </c>
      <c r="D17" s="127"/>
      <c r="E17" s="329" t="s">
        <v>166</v>
      </c>
      <c r="F17" s="328"/>
      <c r="G17" s="329" t="s">
        <v>166</v>
      </c>
      <c r="H17" s="328"/>
      <c r="I17" s="124"/>
    </row>
    <row r="18" spans="3:9" ht="12.75" customHeight="1">
      <c r="C18" s="128" t="str">
        <f>TT_CFG("Memory Slot 4")</f>
        <v>Memory Slot 4</v>
      </c>
      <c r="D18" s="127"/>
      <c r="E18" s="329" t="s">
        <v>166</v>
      </c>
      <c r="F18" s="328"/>
      <c r="G18" s="329" t="s">
        <v>166</v>
      </c>
      <c r="H18" s="328"/>
      <c r="I18" s="124"/>
    </row>
    <row r="19" spans="3:9" ht="12.75" customHeight="1">
      <c r="C19" s="128" t="str">
        <f>TT_CFG("Hard Drive")</f>
        <v>Hard Drive</v>
      </c>
      <c r="D19" s="127"/>
      <c r="E19" s="329" t="s">
        <v>2783</v>
      </c>
      <c r="F19" s="328"/>
      <c r="G19" s="329" t="s">
        <v>2783</v>
      </c>
      <c r="H19" s="328"/>
      <c r="I19" s="124"/>
    </row>
    <row r="20" spans="3:9" ht="12.75" customHeight="1">
      <c r="C20" s="128" t="str">
        <f>TT_CFG("Bluetooth Module")</f>
        <v>Bluetooth Module</v>
      </c>
      <c r="D20" s="127"/>
      <c r="E20" s="329" t="s">
        <v>2784</v>
      </c>
      <c r="F20" s="328"/>
      <c r="G20" s="329" t="s">
        <v>2784</v>
      </c>
      <c r="H20" s="328"/>
      <c r="I20" s="124" t="s">
        <v>2788</v>
      </c>
    </row>
    <row r="21" spans="3:9" ht="12.75" customHeight="1">
      <c r="C21" s="128" t="str">
        <f>TT_CFG("Wireless Lan")</f>
        <v>Wireless Lan</v>
      </c>
      <c r="D21" s="127"/>
      <c r="E21" s="329" t="s">
        <v>2784</v>
      </c>
      <c r="F21" s="328"/>
      <c r="G21" s="329" t="s">
        <v>2784</v>
      </c>
      <c r="H21" s="328"/>
      <c r="I21" s="124" t="s">
        <v>2789</v>
      </c>
    </row>
    <row r="22" spans="3:9" ht="12.75" customHeight="1">
      <c r="C22" s="128" t="str">
        <f>TT_CFG("Wireless Wan")</f>
        <v>Wireless Wan</v>
      </c>
      <c r="D22" s="127"/>
      <c r="E22" s="329" t="s">
        <v>2785</v>
      </c>
      <c r="F22" s="328"/>
      <c r="G22" s="329" t="s">
        <v>2785</v>
      </c>
      <c r="H22" s="328"/>
      <c r="I22" s="124"/>
    </row>
    <row r="23" spans="3:9" ht="12.75" customHeight="1">
      <c r="C23" s="128" t="str">
        <f>TT_CFG("Wired Nic")</f>
        <v>Wired Nic</v>
      </c>
      <c r="D23" s="127"/>
      <c r="E23" s="329" t="s">
        <v>166</v>
      </c>
      <c r="F23" s="328"/>
      <c r="G23" s="329" t="s">
        <v>166</v>
      </c>
      <c r="H23" s="328"/>
      <c r="I23" s="124"/>
    </row>
    <row r="24" spans="3:9" ht="12.75" customHeight="1">
      <c r="C24" s="128" t="str">
        <f>TT_CFG("Modem")</f>
        <v>Modem</v>
      </c>
      <c r="D24" s="127"/>
      <c r="E24" s="329" t="s">
        <v>166</v>
      </c>
      <c r="F24" s="328"/>
      <c r="G24" s="329" t="s">
        <v>166</v>
      </c>
      <c r="H24" s="328"/>
      <c r="I24" s="124"/>
    </row>
    <row r="25" spans="3:9" ht="12.75" customHeight="1">
      <c r="C25" s="128" t="str">
        <f>TT_CFG("Camera")</f>
        <v>Camera</v>
      </c>
      <c r="D25" s="127"/>
      <c r="E25" s="329" t="s">
        <v>2786</v>
      </c>
      <c r="F25" s="328"/>
      <c r="G25" s="329" t="s">
        <v>2786</v>
      </c>
      <c r="H25" s="328"/>
      <c r="I25" s="124"/>
    </row>
    <row r="26" spans="3:9" ht="12.75" customHeight="1">
      <c r="C26" s="128" t="str">
        <f>TT_CFG("Fingerprint Reader")</f>
        <v>Fingerprint Reader</v>
      </c>
      <c r="D26" s="127"/>
      <c r="E26" s="329" t="s">
        <v>166</v>
      </c>
      <c r="F26" s="328"/>
      <c r="G26" s="329" t="s">
        <v>166</v>
      </c>
      <c r="H26" s="328"/>
      <c r="I26" s="124"/>
    </row>
    <row r="27" spans="3:9" ht="12.75" customHeight="1">
      <c r="C27" s="128" t="str">
        <f>TT_CFG("Unit Upgrade Bay Device")</f>
        <v>Unit Upgrade Bay Device</v>
      </c>
      <c r="D27" s="127"/>
      <c r="E27" s="329" t="s">
        <v>166</v>
      </c>
      <c r="F27" s="328"/>
      <c r="G27" s="329" t="s">
        <v>166</v>
      </c>
      <c r="H27" s="328"/>
      <c r="I27" s="124"/>
    </row>
    <row r="28" spans="3:9" ht="12.75" customHeight="1">
      <c r="C28" s="128" t="str">
        <f>TT_CFG("Dock Type")</f>
        <v>Dock Type</v>
      </c>
      <c r="D28" s="127"/>
      <c r="E28" s="329" t="s">
        <v>166</v>
      </c>
      <c r="F28" s="328"/>
      <c r="G28" s="329" t="s">
        <v>166</v>
      </c>
      <c r="H28" s="328"/>
      <c r="I28" s="124"/>
    </row>
    <row r="29" spans="3:9" ht="12.75" customHeight="1">
      <c r="C29" s="128" t="str">
        <f>TT_CFG("Dock Bay Device")</f>
        <v>Dock Bay Device</v>
      </c>
      <c r="D29" s="127"/>
      <c r="E29" s="329" t="s">
        <v>166</v>
      </c>
      <c r="F29" s="328"/>
      <c r="G29" s="329" t="s">
        <v>166</v>
      </c>
      <c r="H29" s="328"/>
      <c r="I29" s="124"/>
    </row>
    <row r="30" spans="3:9" ht="12.75" customHeight="1">
      <c r="C30" s="128" t="str">
        <f>TT_CFG("Touchpad Pointstick Combo")</f>
        <v>Touchpad Pointstick Combo</v>
      </c>
      <c r="D30" s="127"/>
      <c r="E30" s="329" t="s">
        <v>283</v>
      </c>
      <c r="F30" s="328"/>
      <c r="G30" s="329" t="s">
        <v>283</v>
      </c>
      <c r="H30" s="328"/>
      <c r="I30" s="124"/>
    </row>
    <row r="31" spans="3:9" ht="12.75" customHeight="1">
      <c r="C31" s="128" t="str">
        <f>TT_CFG("Keyboard")</f>
        <v>Keyboard</v>
      </c>
      <c r="D31" s="127"/>
      <c r="E31" s="329" t="s">
        <v>239</v>
      </c>
      <c r="F31" s="328"/>
      <c r="G31" s="329" t="s">
        <v>239</v>
      </c>
      <c r="H31" s="328"/>
      <c r="I31" s="124"/>
    </row>
    <row r="32" spans="3:9" ht="12.75" customHeight="1">
      <c r="C32" s="128" t="str">
        <f>TT_CFG("Unit Battery")</f>
        <v>Unit Battery</v>
      </c>
      <c r="D32" s="127"/>
      <c r="E32" s="329" t="s">
        <v>284</v>
      </c>
      <c r="F32" s="328"/>
      <c r="G32" s="329" t="s">
        <v>284</v>
      </c>
      <c r="H32" s="328"/>
      <c r="I32" s="124"/>
    </row>
    <row r="33" spans="3:9" ht="12.75" customHeight="1">
      <c r="C33" s="128" t="str">
        <f>TT_CFG("Travel Battery")</f>
        <v>Travel Battery</v>
      </c>
      <c r="D33" s="127"/>
      <c r="E33" s="329" t="s">
        <v>166</v>
      </c>
      <c r="F33" s="328"/>
      <c r="G33" s="329" t="s">
        <v>166</v>
      </c>
      <c r="H33" s="328"/>
      <c r="I33" s="124"/>
    </row>
    <row r="35" spans="3:9">
      <c r="C35" s="129" t="s">
        <v>2481</v>
      </c>
      <c r="D35" s="130" t="str">
        <f>TT_LOCK(5)</f>
        <v/>
      </c>
      <c r="E35" s="131" t="s">
        <v>2482</v>
      </c>
      <c r="F35" s="132"/>
      <c r="G35" s="131" t="s">
        <v>2482</v>
      </c>
      <c r="H35" s="132"/>
      <c r="I35" s="124"/>
    </row>
    <row r="36" spans="3:9" ht="96" customHeight="1">
      <c r="C36" s="271" t="s">
        <v>2770</v>
      </c>
      <c r="D36" s="272"/>
      <c r="E36" s="273"/>
      <c r="F36" s="132"/>
      <c r="G36" s="273"/>
      <c r="H36" s="132"/>
      <c r="I36" s="124"/>
    </row>
    <row r="37" spans="3:9" ht="19.5" customHeight="1">
      <c r="C37" s="274" t="s">
        <v>2767</v>
      </c>
      <c r="D37" s="130"/>
      <c r="E37" s="131"/>
      <c r="F37" s="132"/>
      <c r="G37" s="131"/>
      <c r="H37" s="132"/>
      <c r="I37" s="124"/>
    </row>
    <row r="38" spans="3:9" ht="18">
      <c r="C38" s="133" t="str">
        <f>TT_SUITE(" Release 1 (Pre OS)", -1, 3)</f>
        <v>▼ Release 1 (Pre OS)</v>
      </c>
      <c r="D38" s="134" t="str">
        <f>TT_ROLLUP(-1, $C38, $C39:$C57)</f>
        <v/>
      </c>
      <c r="E38" s="134" t="str">
        <f>TT_ROLLUP(-1, E38, E38)</f>
        <v/>
      </c>
      <c r="F38" s="132"/>
      <c r="G38" s="134" t="str">
        <f>TT_ROLLUP(-1, $C38, $C39:$C57)</f>
        <v/>
      </c>
      <c r="H38" s="132"/>
      <c r="I38" s="124"/>
    </row>
    <row r="39" spans="3:9" ht="15">
      <c r="C39" s="291" t="s">
        <v>153</v>
      </c>
      <c r="D39" s="291" t="str">
        <f>TT_LOCK(5)</f>
        <v/>
      </c>
      <c r="E39" s="291" t="s">
        <v>2483</v>
      </c>
      <c r="F39" s="132"/>
      <c r="G39" s="291" t="s">
        <v>2483</v>
      </c>
      <c r="H39" s="132"/>
      <c r="I39" s="124"/>
    </row>
    <row r="40" spans="3:9" ht="15">
      <c r="C40" s="291" t="s">
        <v>2484</v>
      </c>
      <c r="D40" s="291" t="str">
        <f>TT_LOCK(5)</f>
        <v/>
      </c>
      <c r="E40" s="291"/>
      <c r="F40" s="132"/>
      <c r="G40" s="291"/>
      <c r="H40" s="132"/>
      <c r="I40" s="124"/>
    </row>
    <row r="41" spans="3:9" ht="15">
      <c r="C41" s="291" t="s">
        <v>2485</v>
      </c>
      <c r="D41" s="291" t="str">
        <f>TT_LOCK(5)</f>
        <v/>
      </c>
      <c r="E41" s="291"/>
      <c r="F41" s="132"/>
      <c r="G41" s="291"/>
      <c r="H41" s="132"/>
      <c r="I41" s="124"/>
    </row>
    <row r="42" spans="3:9" ht="15">
      <c r="C42" s="291" t="s">
        <v>2486</v>
      </c>
      <c r="D42" s="291" t="str">
        <f>TT_LOCK(5)</f>
        <v/>
      </c>
      <c r="E42" s="291"/>
      <c r="F42" s="132"/>
      <c r="G42" s="291"/>
      <c r="H42" s="132"/>
      <c r="I42" s="124"/>
    </row>
    <row r="43" spans="3:9" ht="15">
      <c r="C43" s="291" t="s">
        <v>2487</v>
      </c>
      <c r="D43" s="291" t="str">
        <f>TT_LOCK(5)</f>
        <v/>
      </c>
      <c r="E43" s="291"/>
      <c r="F43" s="132"/>
      <c r="G43" s="291"/>
      <c r="H43" s="132"/>
      <c r="I43" s="124"/>
    </row>
    <row r="44" spans="3:9" ht="15">
      <c r="C44" s="135" t="str">
        <f>TT_CASE("Boot HP Logo", -1, 3, "Pre OS", "")</f>
        <v xml:space="preserve"> Pre OS: Boot HP Logo</v>
      </c>
      <c r="D44" s="276" t="str">
        <f t="shared" ref="D44:D121" si="0">TT_CYCLE(-1)</f>
        <v>P</v>
      </c>
      <c r="E44" s="277" t="str">
        <f>TT_TR("P", "", "")</f>
        <v>P</v>
      </c>
      <c r="F44" s="138" t="s">
        <v>3002</v>
      </c>
      <c r="G44" s="277" t="str">
        <f>TT_TR("P", "", "")</f>
        <v>P</v>
      </c>
      <c r="H44" s="138" t="s">
        <v>2815</v>
      </c>
      <c r="I44" s="124"/>
    </row>
    <row r="45" spans="3:9" ht="15">
      <c r="C45" s="135" t="str">
        <f>TT_CASE("Compliance POST time", -1, 3, "Pre OS")</f>
        <v xml:space="preserve"> Pre OS: Compliance POST time</v>
      </c>
      <c r="D45" s="276" t="str">
        <f t="shared" si="0"/>
        <v>P</v>
      </c>
      <c r="E45" s="277" t="str">
        <f>TT_TR("P", "", "")</f>
        <v>P</v>
      </c>
      <c r="F45" s="138" t="s">
        <v>3101</v>
      </c>
      <c r="G45" s="277" t="str">
        <f>TT_TR("P", "", "")</f>
        <v>P</v>
      </c>
      <c r="H45" s="138" t="s">
        <v>2883</v>
      </c>
      <c r="I45" s="124"/>
    </row>
    <row r="46" spans="3:9" ht="15">
      <c r="C46" s="135" t="str">
        <f>TT_CASE("Boot USB Hard Drive (USB 2.0 Cradle If Applicable) and USB DiskOnKey", -1, 3, "Pre OS")</f>
        <v xml:space="preserve"> Pre OS: Boot USB Hard Drive (USB 2.0 Cradle If Applicable) and USB DiskOnKey</v>
      </c>
      <c r="D46" s="276" t="str">
        <f t="shared" si="0"/>
        <v>P</v>
      </c>
      <c r="E46" s="277" t="str">
        <f>TT_TR("P", "", "")</f>
        <v>P</v>
      </c>
      <c r="F46" s="138" t="s">
        <v>3005</v>
      </c>
      <c r="G46" s="277" t="str">
        <f>TT_TR("P", "", "")</f>
        <v>P</v>
      </c>
      <c r="H46" s="138" t="s">
        <v>2816</v>
      </c>
      <c r="I46" s="124"/>
    </row>
    <row r="47" spans="3:9" ht="15">
      <c r="C47" s="135" t="str">
        <f>TT_CASE("Boot USB Floppy (USB 2.0 Cradle If Applicable)", -1, 3)</f>
        <v xml:space="preserve"> Boot USB Floppy (USB 2.0 Cradle If Applicable)</v>
      </c>
      <c r="D47" s="276" t="str">
        <f t="shared" ref="D47" si="1">TT_CYCLE(-1)</f>
        <v>P</v>
      </c>
      <c r="E47" s="277" t="str">
        <f>TT_TR("P", "", "")</f>
        <v>P</v>
      </c>
      <c r="F47" s="138" t="s">
        <v>3006</v>
      </c>
      <c r="G47" s="277" t="str">
        <f>TT_TR("P", "", "")</f>
        <v>P</v>
      </c>
      <c r="H47" s="138" t="s">
        <v>2817</v>
      </c>
      <c r="I47" s="124"/>
    </row>
    <row r="48" spans="3:9" ht="15">
      <c r="C48" s="135" t="str">
        <f>TT_CASE("Boot E-Sata Hard Drive", -1, 3, "Pre OS")</f>
        <v xml:space="preserve"> Pre OS: Boot E-Sata Hard Drive</v>
      </c>
      <c r="D48" s="278" t="str">
        <f t="shared" si="0"/>
        <v>NA</v>
      </c>
      <c r="E48" s="279" t="str">
        <f>TT_TR("NA", "", "Not support E-sata")</f>
        <v>NA</v>
      </c>
      <c r="F48" s="138" t="s">
        <v>3003</v>
      </c>
      <c r="G48" s="279" t="str">
        <f>TT_TR("NA", "", "Not support E-sata")</f>
        <v>NA</v>
      </c>
      <c r="H48" s="138" t="s">
        <v>2818</v>
      </c>
      <c r="I48" s="124"/>
    </row>
    <row r="49" spans="2:9" ht="15">
      <c r="C49" s="135" t="str">
        <f>TT_CASE("Boot to 2nd Internal Notebook Hard Drive", -1, 3, "Pre OS")</f>
        <v xml:space="preserve"> Pre OS: Boot to 2nd Internal Notebook Hard Drive</v>
      </c>
      <c r="D49" s="278" t="str">
        <f t="shared" si="0"/>
        <v>NA</v>
      </c>
      <c r="E49" s="279" t="str">
        <f>TT_TR("NA", "", "Not support 2nd HD")</f>
        <v>NA</v>
      </c>
      <c r="F49" s="138" t="s">
        <v>3004</v>
      </c>
      <c r="G49" s="279" t="str">
        <f>TT_TR("NA", "", "Not support 2nd HD")</f>
        <v>NA</v>
      </c>
      <c r="H49" s="138" t="s">
        <v>2819</v>
      </c>
      <c r="I49" s="124"/>
    </row>
    <row r="50" spans="2:9" ht="15">
      <c r="C50" s="135" t="str">
        <f>TT_CASE("Boot Cd/Dvd Upgrade bay (Bootable And Non-Bootable)", -1, 3, "Pre OS")</f>
        <v xml:space="preserve"> Pre OS: Boot Cd/Dvd Upgrade bay (Bootable And Non-Bootable)</v>
      </c>
      <c r="D50" s="276" t="str">
        <f t="shared" si="0"/>
        <v>P</v>
      </c>
      <c r="E50" s="277" t="str">
        <f>TT_TR("P", "", "")</f>
        <v>P</v>
      </c>
      <c r="F50" s="138" t="s">
        <v>3098</v>
      </c>
      <c r="G50" s="277" t="str">
        <f t="shared" ref="E50:G55" si="2">TT_TR("P", "", "")</f>
        <v>P</v>
      </c>
      <c r="H50" s="138" t="s">
        <v>2820</v>
      </c>
      <c r="I50" s="124"/>
    </row>
    <row r="51" spans="2:9" ht="15">
      <c r="C51" s="135" t="str">
        <f>TT_CASE("Boot USB 3.0 devices attached", -1, 3, "Pre OS", "")</f>
        <v xml:space="preserve"> Pre OS: Boot USB 3.0 devices attached</v>
      </c>
      <c r="D51" s="276" t="str">
        <f t="shared" si="0"/>
        <v>P</v>
      </c>
      <c r="E51" s="277" t="str">
        <f>TT_TR("P", "", "")</f>
        <v>P</v>
      </c>
      <c r="F51" s="138" t="s">
        <v>3102</v>
      </c>
      <c r="G51" s="277" t="str">
        <f t="shared" si="2"/>
        <v>P</v>
      </c>
      <c r="H51" s="138" t="s">
        <v>2821</v>
      </c>
      <c r="I51" s="124"/>
    </row>
    <row r="52" spans="2:9" ht="15">
      <c r="C52" s="135" t="str">
        <f>TT_CASE("Boot Cd/Dvd USB (USB 2.0 Cradle If Applicable)", -1, 3, "Pre OS", "")</f>
        <v xml:space="preserve"> Pre OS: Boot Cd/Dvd USB (USB 2.0 Cradle If Applicable)</v>
      </c>
      <c r="D52" s="276" t="str">
        <f t="shared" si="0"/>
        <v>P</v>
      </c>
      <c r="E52" s="277" t="str">
        <f>TT_TR("P", "", "")</f>
        <v>P</v>
      </c>
      <c r="F52" s="138" t="s">
        <v>3007</v>
      </c>
      <c r="G52" s="277" t="str">
        <f t="shared" si="2"/>
        <v>P</v>
      </c>
      <c r="H52" s="138" t="s">
        <v>2822</v>
      </c>
      <c r="I52" s="124"/>
    </row>
    <row r="53" spans="2:9" ht="15">
      <c r="C53" s="135" t="str">
        <f>TT_CASE("Boot Remote (PXE)", -1, 3, "Pre OS")</f>
        <v xml:space="preserve"> Pre OS: Boot Remote (PXE)</v>
      </c>
      <c r="D53" s="276" t="str">
        <f t="shared" si="0"/>
        <v>P</v>
      </c>
      <c r="E53" s="277" t="str">
        <f>TT_TR("P", "", "")</f>
        <v>P</v>
      </c>
      <c r="F53" s="138" t="s">
        <v>3008</v>
      </c>
      <c r="G53" s="277" t="str">
        <f t="shared" si="2"/>
        <v>P</v>
      </c>
      <c r="H53" s="138" t="s">
        <v>2823</v>
      </c>
      <c r="I53" s="124"/>
    </row>
    <row r="54" spans="2:9" s="295" customFormat="1" ht="18">
      <c r="C54" s="196" t="str">
        <f>TT_CASE("UEFI IPv6  - Boot to network using UEFI mode", -1, 3)</f>
        <v xml:space="preserve"> UEFI IPv6  - Boot to network using UEFI mode</v>
      </c>
      <c r="D54" s="276" t="str">
        <f>TT_CYCLE(-1)</f>
        <v>P</v>
      </c>
      <c r="E54" s="280" t="str">
        <f>TT_TR("P", "", "")</f>
        <v>P</v>
      </c>
      <c r="F54" s="191" t="s">
        <v>3009</v>
      </c>
      <c r="G54" s="280" t="str">
        <f t="shared" si="2"/>
        <v>P</v>
      </c>
      <c r="H54" s="191" t="s">
        <v>2824</v>
      </c>
      <c r="I54" s="264"/>
    </row>
    <row r="55" spans="2:9" s="295" customFormat="1" ht="18">
      <c r="C55" s="183" t="str">
        <f>TT_CASE("UEFI IPv4  - Boot to network using UEFI mode", -1, 3)</f>
        <v xml:space="preserve"> UEFI IPv4  - Boot to network using UEFI mode</v>
      </c>
      <c r="D55" s="276" t="str">
        <f>TT_CYCLE(-1)</f>
        <v>P</v>
      </c>
      <c r="E55" s="280" t="str">
        <f>TT_TR("P", "", "")</f>
        <v>P</v>
      </c>
      <c r="F55" s="191" t="s">
        <v>3099</v>
      </c>
      <c r="G55" s="280" t="str">
        <f t="shared" si="2"/>
        <v>P</v>
      </c>
      <c r="H55" s="191" t="s">
        <v>2824</v>
      </c>
      <c r="I55" s="294"/>
    </row>
    <row r="56" spans="2:9" ht="15">
      <c r="B56" s="139"/>
      <c r="C56" s="183" t="str">
        <f>TT_CASE("F1 - System Information", -1, 3)</f>
        <v xml:space="preserve"> F1 - System Information</v>
      </c>
      <c r="D56" s="276" t="str">
        <f t="shared" si="0"/>
        <v>P</v>
      </c>
      <c r="E56" s="277" t="str">
        <f>TT_TR("P", "", "")</f>
        <v>P</v>
      </c>
      <c r="F56" s="138" t="s">
        <v>3010</v>
      </c>
      <c r="G56" s="282" t="str">
        <f>TT_TR("F", "", "990220")</f>
        <v>F</v>
      </c>
      <c r="H56" s="138" t="s">
        <v>2825</v>
      </c>
      <c r="I56" s="124"/>
    </row>
    <row r="57" spans="2:9" ht="15">
      <c r="B57" s="139"/>
      <c r="C57" s="135" t="str">
        <f>TT_CASE("Setup BiosAdmin Password", -1, 3)</f>
        <v xml:space="preserve"> Setup BiosAdmin Password</v>
      </c>
      <c r="D57" s="276" t="str">
        <f t="shared" si="0"/>
        <v>P</v>
      </c>
      <c r="E57" s="277" t="str">
        <f>TT_TR("P", "", "")</f>
        <v>P</v>
      </c>
      <c r="F57" s="138" t="s">
        <v>3097</v>
      </c>
      <c r="G57" s="277" t="str">
        <f>TT_TR("P", "", "")</f>
        <v>P</v>
      </c>
      <c r="H57" s="138" t="s">
        <v>2826</v>
      </c>
      <c r="I57" s="124"/>
    </row>
    <row r="58" spans="2:9" ht="18">
      <c r="C58" s="142" t="str">
        <f>TT_SUITE("Release 1 (32-Bit Supported Os)", -1, 3)</f>
        <v>▼ Release 1 (32-Bit Supported Os)</v>
      </c>
      <c r="D58" s="143" t="str">
        <f>TT_ROLLUP(-1, $C58, $C59:$C86)</f>
        <v/>
      </c>
      <c r="E58" s="143" t="str">
        <f>TT_ROLLUP(-1, E58, E58)</f>
        <v/>
      </c>
      <c r="F58" s="138"/>
      <c r="G58" s="143" t="str">
        <f>TT_ROLLUP(-1, $C58, $C59:$C86)</f>
        <v/>
      </c>
      <c r="H58" s="138"/>
      <c r="I58" s="124"/>
    </row>
    <row r="59" spans="2:9" ht="15">
      <c r="C59" s="291" t="s">
        <v>153</v>
      </c>
      <c r="D59" s="291" t="str">
        <f>TT_LOCK(5)</f>
        <v/>
      </c>
      <c r="E59" s="291" t="s">
        <v>2483</v>
      </c>
      <c r="F59" s="144"/>
      <c r="G59" s="291" t="s">
        <v>2483</v>
      </c>
      <c r="H59" s="144"/>
      <c r="I59" s="124"/>
    </row>
    <row r="60" spans="2:9" ht="15">
      <c r="C60" s="291" t="s">
        <v>2484</v>
      </c>
      <c r="D60" s="291" t="str">
        <f>TT_LOCK(5)</f>
        <v/>
      </c>
      <c r="E60" s="291"/>
      <c r="F60" s="144"/>
      <c r="G60" s="291"/>
      <c r="H60" s="144"/>
      <c r="I60" s="124"/>
    </row>
    <row r="61" spans="2:9" ht="15">
      <c r="C61" s="291" t="s">
        <v>2485</v>
      </c>
      <c r="D61" s="291" t="str">
        <f>TT_LOCK(5)</f>
        <v/>
      </c>
      <c r="E61" s="291"/>
      <c r="F61" s="144"/>
      <c r="G61" s="291"/>
      <c r="H61" s="144"/>
      <c r="I61" s="124"/>
    </row>
    <row r="62" spans="2:9" ht="15">
      <c r="C62" s="291" t="s">
        <v>2486</v>
      </c>
      <c r="D62" s="291" t="str">
        <f>TT_LOCK(5)</f>
        <v/>
      </c>
      <c r="E62" s="291"/>
      <c r="F62" s="132"/>
      <c r="G62" s="291"/>
      <c r="H62" s="132"/>
      <c r="I62" s="124"/>
    </row>
    <row r="63" spans="2:9" ht="15">
      <c r="C63" s="291" t="s">
        <v>2487</v>
      </c>
      <c r="D63" s="291" t="str">
        <f>TT_LOCK(5)</f>
        <v/>
      </c>
      <c r="E63" s="291"/>
      <c r="F63" s="144"/>
      <c r="G63" s="291"/>
      <c r="H63" s="144"/>
      <c r="I63" s="124"/>
    </row>
    <row r="64" spans="2:9" ht="15">
      <c r="C64" s="291" t="str">
        <f>TT_CFG("Environment")</f>
        <v>Environment</v>
      </c>
      <c r="D64" s="291" t="s">
        <v>661</v>
      </c>
      <c r="E64" s="330" t="s">
        <v>3079</v>
      </c>
      <c r="F64" s="331"/>
      <c r="G64" s="330" t="s">
        <v>2827</v>
      </c>
      <c r="H64" s="331"/>
      <c r="I64" s="124"/>
    </row>
    <row r="65" spans="3:12" ht="15">
      <c r="C65" s="145" t="str">
        <f>TT_CASE("BIOS Version Quick Check", -1, 3)</f>
        <v xml:space="preserve"> BIOS Version Quick Check</v>
      </c>
      <c r="D65" s="276" t="str">
        <f t="shared" ref="D65:D159" si="3">TT_CYCLE(-1)</f>
        <v>P</v>
      </c>
      <c r="E65" s="277" t="str">
        <f>TT_TR("P", "", "")</f>
        <v>P</v>
      </c>
      <c r="F65" s="146" t="s">
        <v>3080</v>
      </c>
      <c r="G65" s="279" t="str">
        <f t="shared" ref="E65:G86" si="4">TT_TR("NA", "", "Win8.1 not support 32bit .")</f>
        <v>NA</v>
      </c>
      <c r="H65" s="146" t="s">
        <v>2828</v>
      </c>
      <c r="I65" s="124"/>
    </row>
    <row r="66" spans="3:12" s="139" customFormat="1" ht="15">
      <c r="C66" s="135" t="str">
        <f>TT_CASE("How to Flash document verification", -1, 3)</f>
        <v xml:space="preserve"> How to Flash document verification</v>
      </c>
      <c r="D66" s="276" t="str">
        <f t="shared" ref="D66:D94" si="5">TT_CYCLE(-1)</f>
        <v>P</v>
      </c>
      <c r="E66" s="277" t="str">
        <f>TT_TR("P", "", "")</f>
        <v>P</v>
      </c>
      <c r="F66" s="246" t="s">
        <v>3080</v>
      </c>
      <c r="G66" s="279" t="str">
        <f t="shared" si="4"/>
        <v>NA</v>
      </c>
      <c r="H66" s="246" t="s">
        <v>2829</v>
      </c>
      <c r="I66" s="247"/>
      <c r="J66" s="122"/>
      <c r="L66" s="122"/>
    </row>
    <row r="67" spans="3:12" s="139" customFormat="1">
      <c r="C67" s="248" t="str">
        <f>TT_CASE("File validation for BIOS Package", -1, 3)</f>
        <v xml:space="preserve"> File validation for BIOS Package</v>
      </c>
      <c r="D67" s="276" t="str">
        <f t="shared" si="5"/>
        <v>P</v>
      </c>
      <c r="E67" s="277" t="str">
        <f>TT_TR("P", "", "")</f>
        <v>P</v>
      </c>
      <c r="F67" s="246" t="s">
        <v>3081</v>
      </c>
      <c r="G67" s="279" t="str">
        <f t="shared" si="4"/>
        <v>NA</v>
      </c>
      <c r="H67" s="246" t="s">
        <v>2829</v>
      </c>
      <c r="I67" s="247"/>
      <c r="J67" s="122"/>
    </row>
    <row r="68" spans="3:12" ht="15">
      <c r="C68" s="145" t="str">
        <f>TT_CASE("Flash HPBIOSUPDREC Upgrade in Delay Mode", -1, 3)</f>
        <v xml:space="preserve"> Flash HPBIOSUPDREC Upgrade in Delay Mode</v>
      </c>
      <c r="D68" s="276" t="str">
        <f t="shared" si="3"/>
        <v>P</v>
      </c>
      <c r="E68" s="277" t="str">
        <f>TT_TR("P", "", "")</f>
        <v>P</v>
      </c>
      <c r="F68" s="146" t="s">
        <v>3082</v>
      </c>
      <c r="G68" s="279" t="str">
        <f t="shared" si="4"/>
        <v>NA</v>
      </c>
      <c r="H68" s="146" t="s">
        <v>2829</v>
      </c>
      <c r="I68" s="124"/>
    </row>
    <row r="69" spans="3:12" ht="15">
      <c r="C69" s="145" t="str">
        <f>TT_CASE("Flash HPBIOSUPDREC Reflash in Delay Mode", -1, 3)</f>
        <v xml:space="preserve"> Flash HPBIOSUPDREC Reflash in Delay Mode</v>
      </c>
      <c r="D69" s="276" t="str">
        <f t="shared" si="3"/>
        <v>P</v>
      </c>
      <c r="E69" s="277" t="str">
        <f>TT_TR("P", "", "")</f>
        <v>P</v>
      </c>
      <c r="F69" s="146" t="s">
        <v>3083</v>
      </c>
      <c r="G69" s="279" t="str">
        <f t="shared" si="4"/>
        <v>NA</v>
      </c>
      <c r="H69" s="146" t="s">
        <v>2829</v>
      </c>
      <c r="I69" s="124"/>
    </row>
    <row r="70" spans="3:12" ht="15">
      <c r="C70" s="135" t="str">
        <f>TT_CASE("Flash HPBIOSUPDREC Upgrade in Delay Mode UEFI OS (GPT partition)", -1, 3)</f>
        <v xml:space="preserve"> Flash HPBIOSUPDREC Upgrade in Delay Mode UEFI OS (GPT partition)</v>
      </c>
      <c r="D70" s="276" t="str">
        <f t="shared" si="3"/>
        <v>P</v>
      </c>
      <c r="E70" s="277" t="str">
        <f>TT_TR("P", "", "")</f>
        <v>P</v>
      </c>
      <c r="F70" s="146" t="s">
        <v>3083</v>
      </c>
      <c r="G70" s="279" t="str">
        <f t="shared" si="4"/>
        <v>NA</v>
      </c>
      <c r="H70" s="146" t="s">
        <v>2829</v>
      </c>
      <c r="I70" s="124"/>
    </row>
    <row r="71" spans="3:12" ht="15">
      <c r="C71" s="135" t="str">
        <f>TT_CASE("Flash HPBIOSUPDREC Reflash in Delay Mode on UEFI OS (GPT)", -1, 3)</f>
        <v xml:space="preserve"> Flash HPBIOSUPDREC Reflash in Delay Mode on UEFI OS (GPT)</v>
      </c>
      <c r="D71" s="276" t="str">
        <f t="shared" si="3"/>
        <v>P</v>
      </c>
      <c r="E71" s="277" t="str">
        <f>TT_TR("P", "", "")</f>
        <v>P</v>
      </c>
      <c r="F71" s="146" t="s">
        <v>3084</v>
      </c>
      <c r="G71" s="279" t="str">
        <f t="shared" si="4"/>
        <v>NA</v>
      </c>
      <c r="H71" s="146" t="s">
        <v>2829</v>
      </c>
      <c r="I71" s="124"/>
    </row>
    <row r="72" spans="3:12" ht="15">
      <c r="C72" s="145" t="str">
        <f>TT_CASE("Flash HPBIOSUPDREC Upgrade in Windows Mode", -1, 3)</f>
        <v xml:space="preserve"> Flash HPBIOSUPDREC Upgrade in Windows Mode</v>
      </c>
      <c r="D72" s="276" t="str">
        <f t="shared" si="3"/>
        <v>P</v>
      </c>
      <c r="E72" s="277" t="str">
        <f>TT_TR("P", "", "")</f>
        <v>P</v>
      </c>
      <c r="F72" s="146" t="s">
        <v>3085</v>
      </c>
      <c r="G72" s="279" t="str">
        <f t="shared" si="4"/>
        <v>NA</v>
      </c>
      <c r="H72" s="146" t="s">
        <v>2829</v>
      </c>
      <c r="I72" s="124"/>
    </row>
    <row r="73" spans="3:12" ht="15">
      <c r="C73" s="145" t="str">
        <f>TT_CASE("Flash HPBIOSUPDREC Reflash in Windows Mode", -1, 3)</f>
        <v xml:space="preserve"> Flash HPBIOSUPDREC Reflash in Windows Mode</v>
      </c>
      <c r="D73" s="276" t="str">
        <f t="shared" si="3"/>
        <v>P</v>
      </c>
      <c r="E73" s="277" t="str">
        <f>TT_TR("P", "", "")</f>
        <v>P</v>
      </c>
      <c r="F73" s="146" t="s">
        <v>3086</v>
      </c>
      <c r="G73" s="279" t="str">
        <f t="shared" si="4"/>
        <v>NA</v>
      </c>
      <c r="H73" s="146" t="s">
        <v>2829</v>
      </c>
      <c r="I73" s="124"/>
    </row>
    <row r="74" spans="3:12" ht="15">
      <c r="C74" s="145" t="str">
        <f>TT_CASE("Flash – with Intel FPTW.exe tool", -1, 3)</f>
        <v xml:space="preserve"> Flash – with Intel FPTW.exe tool</v>
      </c>
      <c r="D74" s="276" t="str">
        <f t="shared" si="3"/>
        <v>P</v>
      </c>
      <c r="E74" s="277" t="str">
        <f>TT_TR("P", "", "")</f>
        <v>P</v>
      </c>
      <c r="F74" s="146" t="s">
        <v>3087</v>
      </c>
      <c r="G74" s="279" t="str">
        <f t="shared" si="4"/>
        <v>NA</v>
      </c>
      <c r="H74" s="146" t="s">
        <v>2829</v>
      </c>
      <c r="I74" s="124"/>
    </row>
    <row r="75" spans="3:12" ht="15">
      <c r="C75" s="147" t="str">
        <f>TT_CASE("Flash – with Intel FPT.efi tool", -1, 3)</f>
        <v xml:space="preserve"> Flash – with Intel FPT.efi tool</v>
      </c>
      <c r="D75" s="276" t="str">
        <f t="shared" si="3"/>
        <v>P</v>
      </c>
      <c r="E75" s="277" t="str">
        <f>TT_TR("P", "", "")</f>
        <v>P</v>
      </c>
      <c r="F75" s="146" t="s">
        <v>3087</v>
      </c>
      <c r="G75" s="279" t="str">
        <f t="shared" si="4"/>
        <v>NA</v>
      </c>
      <c r="H75" s="146" t="s">
        <v>2830</v>
      </c>
      <c r="I75" s="124"/>
    </row>
    <row r="76" spans="3:12" ht="15">
      <c r="C76" s="135" t="str">
        <f>TT_CASE("Flash HPBIOSUPDREC Downgrade", -1, 3)</f>
        <v xml:space="preserve"> Flash HPBIOSUPDREC Downgrade</v>
      </c>
      <c r="D76" s="276" t="str">
        <f t="shared" si="3"/>
        <v>P</v>
      </c>
      <c r="E76" s="277" t="str">
        <f>TT_TR("P", "", "")</f>
        <v>P</v>
      </c>
      <c r="F76" s="146" t="s">
        <v>3088</v>
      </c>
      <c r="G76" s="279" t="str">
        <f t="shared" si="4"/>
        <v>NA</v>
      </c>
      <c r="H76" s="146" t="s">
        <v>2830</v>
      </c>
      <c r="I76" s="124"/>
      <c r="J76" s="122"/>
    </row>
    <row r="77" spans="3:12" ht="15">
      <c r="C77" s="135" t="str">
        <f>TT_CASE("Flash HPBIOSUPDREC Downgrade on UEFI OS (GPT Partition)", -1, 3)</f>
        <v xml:space="preserve"> Flash HPBIOSUPDREC Downgrade on UEFI OS (GPT Partition)</v>
      </c>
      <c r="D77" s="276" t="str">
        <f t="shared" si="3"/>
        <v>P</v>
      </c>
      <c r="E77" s="277" t="str">
        <f>TT_TR("P", "", "")</f>
        <v>P</v>
      </c>
      <c r="F77" s="146" t="s">
        <v>3088</v>
      </c>
      <c r="G77" s="279" t="str">
        <f t="shared" si="4"/>
        <v>NA</v>
      </c>
      <c r="H77" s="146" t="s">
        <v>2830</v>
      </c>
      <c r="I77" s="124"/>
    </row>
    <row r="78" spans="3:12" ht="15">
      <c r="C78" s="145" t="str">
        <f>TT_CASE("BIOS Backup WMI - WinPVT", -1, 3, "", "")</f>
        <v xml:space="preserve"> BIOS Backup WMI - WinPVT</v>
      </c>
      <c r="D78" s="276" t="str">
        <f t="shared" si="3"/>
        <v>P</v>
      </c>
      <c r="E78" s="277" t="str">
        <f>TT_TR("P", "", "")</f>
        <v>P</v>
      </c>
      <c r="F78" s="146" t="s">
        <v>3089</v>
      </c>
      <c r="G78" s="279" t="str">
        <f t="shared" si="4"/>
        <v>NA</v>
      </c>
      <c r="H78" s="146" t="s">
        <v>2830</v>
      </c>
      <c r="I78" s="124"/>
      <c r="K78" s="261"/>
    </row>
    <row r="79" spans="3:12" ht="15">
      <c r="C79" s="135" t="str">
        <f>TT_CASE("BIOS Backup - From F10", -1, 3)</f>
        <v xml:space="preserve"> BIOS Backup - From F10</v>
      </c>
      <c r="D79" s="276" t="str">
        <f t="shared" si="3"/>
        <v>P</v>
      </c>
      <c r="E79" s="277" t="str">
        <f>TT_TR("P", "", "")</f>
        <v>P</v>
      </c>
      <c r="F79" s="146" t="s">
        <v>3089</v>
      </c>
      <c r="G79" s="279" t="str">
        <f t="shared" si="4"/>
        <v>NA</v>
      </c>
      <c r="H79" s="146" t="s">
        <v>2830</v>
      </c>
      <c r="I79" s="124"/>
    </row>
    <row r="80" spans="3:12" ht="15">
      <c r="C80" s="145" t="str">
        <f>TT_CASE("Boot &amp; Restart", -1, 3)</f>
        <v xml:space="preserve"> Boot &amp; Restart</v>
      </c>
      <c r="D80" s="276" t="str">
        <f t="shared" si="3"/>
        <v>P</v>
      </c>
      <c r="E80" s="277" t="str">
        <f>TT_TR("P", "", "")</f>
        <v>P</v>
      </c>
      <c r="F80" s="138" t="s">
        <v>3091</v>
      </c>
      <c r="G80" s="279" t="str">
        <f t="shared" si="4"/>
        <v>NA</v>
      </c>
      <c r="H80" s="138" t="s">
        <v>2830</v>
      </c>
      <c r="I80" s="124"/>
    </row>
    <row r="81" spans="3:9" ht="15">
      <c r="C81" s="145" t="str">
        <f>TT_CASE("Boot &amp; Restart After Standby", -1, 3)</f>
        <v xml:space="preserve"> Boot &amp; Restart After Standby</v>
      </c>
      <c r="D81" s="276" t="str">
        <f t="shared" si="3"/>
        <v>P</v>
      </c>
      <c r="E81" s="277" t="str">
        <f>TT_TR("P", "", "")</f>
        <v>P</v>
      </c>
      <c r="F81" s="138" t="s">
        <v>3090</v>
      </c>
      <c r="G81" s="279" t="str">
        <f t="shared" si="4"/>
        <v>NA</v>
      </c>
      <c r="H81" s="138" t="s">
        <v>2830</v>
      </c>
      <c r="I81" s="124"/>
    </row>
    <row r="82" spans="3:9" ht="15">
      <c r="C82" s="145" t="str">
        <f>TT_CASE("Boot &amp; Restart After Hibernation", -1, 3)</f>
        <v xml:space="preserve"> Boot &amp; Restart After Hibernation</v>
      </c>
      <c r="D82" s="276" t="str">
        <f t="shared" si="3"/>
        <v>P</v>
      </c>
      <c r="E82" s="277" t="str">
        <f>TT_TR("P", "", "")</f>
        <v>P</v>
      </c>
      <c r="F82" s="138" t="s">
        <v>3092</v>
      </c>
      <c r="G82" s="279" t="str">
        <f t="shared" si="4"/>
        <v>NA</v>
      </c>
      <c r="H82" s="138" t="s">
        <v>2830</v>
      </c>
      <c r="I82" s="124"/>
    </row>
    <row r="83" spans="3:9" ht="15">
      <c r="C83" s="145" t="str">
        <f>TT_CASE("Boot &amp; Shutdown", -1, 3)</f>
        <v xml:space="preserve"> Boot &amp; Shutdown</v>
      </c>
      <c r="D83" s="276" t="str">
        <f t="shared" si="3"/>
        <v>P</v>
      </c>
      <c r="E83" s="277" t="str">
        <f>TT_TR("P", "", "")</f>
        <v>P</v>
      </c>
      <c r="F83" s="138" t="s">
        <v>3093</v>
      </c>
      <c r="G83" s="279" t="str">
        <f t="shared" si="4"/>
        <v>NA</v>
      </c>
      <c r="H83" s="138" t="s">
        <v>2830</v>
      </c>
      <c r="I83" s="124"/>
    </row>
    <row r="84" spans="3:9" ht="15">
      <c r="C84" s="145" t="str">
        <f>TT_CASE("Boot &amp; Shutdown After Standby", -1, 3)</f>
        <v xml:space="preserve"> Boot &amp; Shutdown After Standby</v>
      </c>
      <c r="D84" s="276" t="str">
        <f t="shared" si="3"/>
        <v>P</v>
      </c>
      <c r="E84" s="277" t="str">
        <f>TT_TR("P", "", "")</f>
        <v>P</v>
      </c>
      <c r="F84" s="138" t="s">
        <v>3094</v>
      </c>
      <c r="G84" s="279" t="str">
        <f t="shared" si="4"/>
        <v>NA</v>
      </c>
      <c r="H84" s="138" t="s">
        <v>2830</v>
      </c>
      <c r="I84" s="124"/>
    </row>
    <row r="85" spans="3:9" ht="15">
      <c r="C85" s="145" t="str">
        <f>TT_CASE("Boot &amp; Shutdown After Hibernation", -1, 3)</f>
        <v xml:space="preserve"> Boot &amp; Shutdown After Hibernation</v>
      </c>
      <c r="D85" s="276" t="str">
        <f t="shared" si="3"/>
        <v>P</v>
      </c>
      <c r="E85" s="277" t="str">
        <f>TT_TR("P", "", "")</f>
        <v>P</v>
      </c>
      <c r="F85" s="138" t="s">
        <v>3095</v>
      </c>
      <c r="G85" s="279" t="str">
        <f t="shared" si="4"/>
        <v>NA</v>
      </c>
      <c r="H85" s="138" t="s">
        <v>2830</v>
      </c>
      <c r="I85" s="124"/>
    </row>
    <row r="86" spans="3:9" ht="15">
      <c r="C86" s="145" t="str">
        <f>TT_CASE("Power Mgmt Speedstep/Powernow Ac-Dc, Dc-Ac", -1, 3)</f>
        <v xml:space="preserve"> Power Mgmt Speedstep/Powernow Ac-Dc, Dc-Ac</v>
      </c>
      <c r="D86" s="276" t="str">
        <f t="shared" si="3"/>
        <v>P</v>
      </c>
      <c r="E86" s="277" t="str">
        <f>TT_TR("P", "", "")</f>
        <v>P</v>
      </c>
      <c r="F86" s="138" t="s">
        <v>3096</v>
      </c>
      <c r="G86" s="279" t="str">
        <f t="shared" si="4"/>
        <v>NA</v>
      </c>
      <c r="H86" s="138" t="s">
        <v>2830</v>
      </c>
      <c r="I86" s="124"/>
    </row>
    <row r="87" spans="3:9" ht="18">
      <c r="C87" s="142" t="str">
        <f>TT_SUITE("Release 1 (64-Bit Supported Os)", -1, 3)</f>
        <v>▼ Release 1 (64-Bit Supported Os)</v>
      </c>
      <c r="D87" s="143" t="str">
        <f>TT_ROLLUP(-1, $C87, $C88:$C116)</f>
        <v/>
      </c>
      <c r="E87" s="143" t="str">
        <f>TT_ROLLUP(-1, E87, E87)</f>
        <v/>
      </c>
      <c r="F87" s="138"/>
      <c r="G87" s="143" t="str">
        <f>TT_ROLLUP(-1, $C87, $C88:$C116)</f>
        <v/>
      </c>
      <c r="H87" s="138"/>
      <c r="I87" s="124"/>
    </row>
    <row r="88" spans="3:9" ht="15">
      <c r="C88" s="291" t="s">
        <v>153</v>
      </c>
      <c r="D88" s="291" t="str">
        <f>TT_LOCK(5)</f>
        <v/>
      </c>
      <c r="E88" s="291" t="s">
        <v>2483</v>
      </c>
      <c r="F88" s="144"/>
      <c r="G88" s="291" t="s">
        <v>2483</v>
      </c>
      <c r="H88" s="144"/>
      <c r="I88" s="124"/>
    </row>
    <row r="89" spans="3:9" ht="15">
      <c r="C89" s="291" t="s">
        <v>2484</v>
      </c>
      <c r="D89" s="291" t="str">
        <f>TT_LOCK(5)</f>
        <v/>
      </c>
      <c r="E89" s="291"/>
      <c r="F89" s="144"/>
      <c r="G89" s="291"/>
      <c r="H89" s="144"/>
      <c r="I89" s="124"/>
    </row>
    <row r="90" spans="3:9" ht="15">
      <c r="C90" s="291" t="s">
        <v>2485</v>
      </c>
      <c r="D90" s="291" t="str">
        <f>TT_LOCK(5)</f>
        <v/>
      </c>
      <c r="E90" s="291"/>
      <c r="F90" s="144"/>
      <c r="G90" s="291"/>
      <c r="H90" s="144"/>
      <c r="I90" s="124"/>
    </row>
    <row r="91" spans="3:9" ht="15">
      <c r="C91" s="291" t="s">
        <v>2486</v>
      </c>
      <c r="D91" s="291" t="str">
        <f>TT_LOCK(5)</f>
        <v/>
      </c>
      <c r="E91" s="291"/>
      <c r="F91" s="132"/>
      <c r="G91" s="291"/>
      <c r="H91" s="132"/>
      <c r="I91" s="124"/>
    </row>
    <row r="92" spans="3:9" ht="15">
      <c r="C92" s="291" t="s">
        <v>2487</v>
      </c>
      <c r="D92" s="291" t="str">
        <f>TT_LOCK(5)</f>
        <v/>
      </c>
      <c r="E92" s="291"/>
      <c r="F92" s="144"/>
      <c r="G92" s="291"/>
      <c r="H92" s="144"/>
      <c r="I92" s="124"/>
    </row>
    <row r="93" spans="3:9" ht="15">
      <c r="C93" s="291" t="str">
        <f>TT_CFG("Environment")</f>
        <v>Environment</v>
      </c>
      <c r="D93" s="291" t="s">
        <v>661</v>
      </c>
      <c r="E93" s="330" t="s">
        <v>3011</v>
      </c>
      <c r="F93" s="331"/>
      <c r="G93" s="330" t="s">
        <v>2827</v>
      </c>
      <c r="H93" s="331"/>
      <c r="I93" s="124"/>
    </row>
    <row r="94" spans="3:9" ht="15">
      <c r="C94" s="145" t="str">
        <f>TT_CASE("BIOS Version Quick Check", -1, 3)</f>
        <v xml:space="preserve"> BIOS Version Quick Check</v>
      </c>
      <c r="D94" s="276" t="str">
        <f t="shared" si="5"/>
        <v>P</v>
      </c>
      <c r="E94" s="277" t="str">
        <f>TT_TR("P", "", "")</f>
        <v>P</v>
      </c>
      <c r="F94" s="146" t="s">
        <v>3012</v>
      </c>
      <c r="G94" s="277" t="str">
        <f t="shared" ref="E94:G104" si="6">TT_TR("P", "", "")</f>
        <v>P</v>
      </c>
      <c r="H94" s="146" t="s">
        <v>2835</v>
      </c>
      <c r="I94" s="124"/>
    </row>
    <row r="95" spans="3:9" ht="15">
      <c r="C95" s="145" t="str">
        <f>TT_CASE("Flash HPBIOSUPDREC Upgrade in Delay Mode", -1, 3)</f>
        <v xml:space="preserve"> Flash HPBIOSUPDREC Upgrade in Delay Mode</v>
      </c>
      <c r="D95" s="276" t="str">
        <f t="shared" ref="D95:D183" si="7">TT_CYCLE(-1)</f>
        <v>P</v>
      </c>
      <c r="E95" s="277" t="str">
        <f>TT_TR("P", "", "")</f>
        <v>P</v>
      </c>
      <c r="F95" s="146" t="s">
        <v>3012</v>
      </c>
      <c r="G95" s="277" t="str">
        <f t="shared" si="6"/>
        <v>P</v>
      </c>
      <c r="H95" s="146" t="s">
        <v>2836</v>
      </c>
      <c r="I95" s="124"/>
    </row>
    <row r="96" spans="3:9" ht="15">
      <c r="C96" s="145" t="str">
        <f>TT_CASE("Flash HPBIOSUPDREC Reflash in Delay Mode", -1, 3)</f>
        <v xml:space="preserve"> Flash HPBIOSUPDREC Reflash in Delay Mode</v>
      </c>
      <c r="D96" s="276" t="str">
        <f t="shared" si="7"/>
        <v>P</v>
      </c>
      <c r="E96" s="277" t="str">
        <f>TT_TR("P", "", "")</f>
        <v>P</v>
      </c>
      <c r="F96" s="146" t="s">
        <v>3013</v>
      </c>
      <c r="G96" s="277" t="str">
        <f t="shared" si="6"/>
        <v>P</v>
      </c>
      <c r="H96" s="146" t="s">
        <v>2836</v>
      </c>
      <c r="I96" s="124"/>
    </row>
    <row r="97" spans="3:9" ht="15">
      <c r="C97" s="135" t="str">
        <f>TT_CASE("Flash HPBIOSUPDREC Upgrade in Delay Mode UEFI OS (GPT partition)", -1, 3)</f>
        <v xml:space="preserve"> Flash HPBIOSUPDREC Upgrade in Delay Mode UEFI OS (GPT partition)</v>
      </c>
      <c r="D97" s="276" t="str">
        <f t="shared" si="7"/>
        <v>P</v>
      </c>
      <c r="E97" s="277" t="str">
        <f>TT_TR("P", "", "")</f>
        <v>P</v>
      </c>
      <c r="F97" s="146" t="s">
        <v>3013</v>
      </c>
      <c r="G97" s="277" t="str">
        <f t="shared" si="6"/>
        <v>P</v>
      </c>
      <c r="H97" s="146" t="s">
        <v>2837</v>
      </c>
      <c r="I97" s="124"/>
    </row>
    <row r="98" spans="3:9" ht="15">
      <c r="C98" s="135" t="str">
        <f>TT_CASE("Flash HPBIOSUPDREC Reflash in Delay Mode on UEFI OS (GPT)", -1, 3)</f>
        <v xml:space="preserve"> Flash HPBIOSUPDREC Reflash in Delay Mode on UEFI OS (GPT)</v>
      </c>
      <c r="D98" s="276" t="str">
        <f t="shared" si="7"/>
        <v>P</v>
      </c>
      <c r="E98" s="277" t="str">
        <f>TT_TR("P", "", "")</f>
        <v>P</v>
      </c>
      <c r="F98" s="146" t="s">
        <v>3014</v>
      </c>
      <c r="G98" s="277" t="str">
        <f t="shared" si="6"/>
        <v>P</v>
      </c>
      <c r="H98" s="146" t="s">
        <v>2837</v>
      </c>
      <c r="I98" s="124"/>
    </row>
    <row r="99" spans="3:9" ht="15">
      <c r="C99" s="145" t="str">
        <f>TT_CASE("Flash HPBIOSUPDREC Upgrade in Windows Mode", -1, 3)</f>
        <v xml:space="preserve"> Flash HPBIOSUPDREC Upgrade in Windows Mode</v>
      </c>
      <c r="D99" s="276" t="str">
        <f t="shared" si="7"/>
        <v>P</v>
      </c>
      <c r="E99" s="277" t="str">
        <f>TT_TR("P", "", "")</f>
        <v>P</v>
      </c>
      <c r="F99" s="146" t="s">
        <v>3015</v>
      </c>
      <c r="G99" s="277" t="str">
        <f t="shared" si="6"/>
        <v>P</v>
      </c>
      <c r="H99" s="146" t="s">
        <v>2838</v>
      </c>
      <c r="I99" s="124"/>
    </row>
    <row r="100" spans="3:9" ht="15">
      <c r="C100" s="145" t="str">
        <f>TT_CASE("Flash HPBIOSUPDREC Reflash in Windows Mode", -1, 3)</f>
        <v xml:space="preserve"> Flash HPBIOSUPDREC Reflash in Windows Mode</v>
      </c>
      <c r="D100" s="276" t="str">
        <f t="shared" si="7"/>
        <v>P</v>
      </c>
      <c r="E100" s="277" t="str">
        <f>TT_TR("P", "", "")</f>
        <v>P</v>
      </c>
      <c r="F100" s="146" t="s">
        <v>3015</v>
      </c>
      <c r="G100" s="277" t="str">
        <f t="shared" si="6"/>
        <v>P</v>
      </c>
      <c r="H100" s="146" t="s">
        <v>2838</v>
      </c>
      <c r="I100" s="124"/>
    </row>
    <row r="101" spans="3:9" ht="15">
      <c r="C101" s="145" t="str">
        <f>TT_CASE("Upgrade and Re-flash - Intel FPTW.exe tool", -1, 3, "", "")</f>
        <v xml:space="preserve"> Upgrade and Re-flash - Intel FPTW.exe tool</v>
      </c>
      <c r="D101" s="276" t="str">
        <f t="shared" si="7"/>
        <v>P</v>
      </c>
      <c r="E101" s="277" t="str">
        <f>TT_TR("P", "", "")</f>
        <v>P</v>
      </c>
      <c r="F101" s="146" t="s">
        <v>3016</v>
      </c>
      <c r="G101" s="277" t="str">
        <f t="shared" si="6"/>
        <v>P</v>
      </c>
      <c r="H101" s="146" t="s">
        <v>2839</v>
      </c>
      <c r="I101" s="124"/>
    </row>
    <row r="102" spans="3:9" s="139" customFormat="1" ht="15">
      <c r="C102" s="249" t="str">
        <f>TT_CASE("Flash – with Intel FPT.efi tool", -1, 3)</f>
        <v xml:space="preserve"> Flash – with Intel FPT.efi tool</v>
      </c>
      <c r="D102" s="276" t="str">
        <f t="shared" si="7"/>
        <v>P</v>
      </c>
      <c r="E102" s="277" t="str">
        <f>TT_TR("P", "", "")</f>
        <v>P</v>
      </c>
      <c r="F102" s="246" t="s">
        <v>3078</v>
      </c>
      <c r="G102" s="277" t="str">
        <f t="shared" si="6"/>
        <v>P</v>
      </c>
      <c r="H102" s="246" t="s">
        <v>2840</v>
      </c>
      <c r="I102" s="247"/>
    </row>
    <row r="103" spans="3:9" ht="15">
      <c r="C103" s="145" t="str">
        <f>TT_CASE("Flash HPBIOSUPDREC Downgrade", -1, 3)</f>
        <v xml:space="preserve"> Flash HPBIOSUPDREC Downgrade</v>
      </c>
      <c r="D103" s="276" t="str">
        <f t="shared" si="7"/>
        <v>P</v>
      </c>
      <c r="E103" s="277" t="str">
        <f>TT_TR("P", "", "")</f>
        <v>P</v>
      </c>
      <c r="F103" s="146" t="s">
        <v>3018</v>
      </c>
      <c r="G103" s="277" t="str">
        <f t="shared" si="6"/>
        <v>P</v>
      </c>
      <c r="H103" s="146" t="s">
        <v>2841</v>
      </c>
      <c r="I103" s="124"/>
    </row>
    <row r="104" spans="3:9" ht="15">
      <c r="C104" s="135" t="str">
        <f>TT_CASE("Flash HPBIOSUPDREC Downgrade on UEFI OS (GPT Partition)", -1, 3)</f>
        <v xml:space="preserve"> Flash HPBIOSUPDREC Downgrade on UEFI OS (GPT Partition)</v>
      </c>
      <c r="D104" s="276" t="str">
        <f t="shared" si="7"/>
        <v>P</v>
      </c>
      <c r="E104" s="277" t="str">
        <f>TT_TR("P", "", "")</f>
        <v>P</v>
      </c>
      <c r="F104" s="146" t="s">
        <v>3077</v>
      </c>
      <c r="G104" s="277" t="str">
        <f t="shared" si="6"/>
        <v>P</v>
      </c>
      <c r="H104" s="146" t="s">
        <v>2842</v>
      </c>
      <c r="I104" s="124"/>
    </row>
    <row r="105" spans="3:9" ht="15">
      <c r="C105" s="145" t="str">
        <f>TT_CASE("Flash HPBIOSUPDREC (Upgrade From Last Customer-Rel Bios, F-series BIOS)", -1, 3)</f>
        <v xml:space="preserve"> Flash HPBIOSUPDREC (Upgrade From Last Customer-Rel Bios, F-series BIOS)</v>
      </c>
      <c r="D105" s="278" t="str">
        <f t="shared" si="7"/>
        <v>NA</v>
      </c>
      <c r="E105" s="279" t="str">
        <f>TT_TR("NA", "", "No F-series Bios")</f>
        <v>NA</v>
      </c>
      <c r="F105" s="146" t="s">
        <v>3017</v>
      </c>
      <c r="G105" s="279" t="str">
        <f>TT_TR("NA", "", "No F-series Bios")</f>
        <v>NA</v>
      </c>
      <c r="H105" s="146" t="s">
        <v>2843</v>
      </c>
      <c r="I105" s="124"/>
    </row>
    <row r="106" spans="3:9" ht="15">
      <c r="C106" s="145" t="str">
        <f>TT_CASE("Flash BIOS and Verify Settings - WinPVT", -1, 3, "", "")</f>
        <v xml:space="preserve"> Flash BIOS and Verify Settings - WinPVT</v>
      </c>
      <c r="D106" s="278" t="str">
        <f t="shared" si="7"/>
        <v>NA</v>
      </c>
      <c r="E106" s="279" t="str">
        <f>TT_TR("NA", "", "This is for F-series Bios")</f>
        <v>NA</v>
      </c>
      <c r="F106" s="146" t="s">
        <v>3100</v>
      </c>
      <c r="G106" s="279" t="str">
        <f>TT_TR("NA", "", "Start from PV")</f>
        <v>NA</v>
      </c>
      <c r="H106" s="146" t="s">
        <v>2844</v>
      </c>
      <c r="I106" s="124"/>
    </row>
    <row r="107" spans="3:9" ht="15">
      <c r="C107" s="145" t="str">
        <f>TT_CASE("BIOS Backup WMI on GPT partition", -1, 3, "", "")</f>
        <v xml:space="preserve"> BIOS Backup WMI on GPT partition</v>
      </c>
      <c r="D107" s="276" t="str">
        <f t="shared" si="7"/>
        <v>P</v>
      </c>
      <c r="E107" s="277" t="str">
        <f>TT_TR("P", "", "")</f>
        <v>P</v>
      </c>
      <c r="F107" s="146" t="s">
        <v>3076</v>
      </c>
      <c r="G107" s="277" t="str">
        <f t="shared" ref="E107:G115" si="8">TT_TR("P", "", "")</f>
        <v>P</v>
      </c>
      <c r="H107" s="146" t="s">
        <v>2845</v>
      </c>
      <c r="I107" s="124"/>
    </row>
    <row r="108" spans="3:9" ht="15">
      <c r="C108" s="135" t="str">
        <f>TT_CASE("BIOS Backup on GPT partition from F10", -1, 3)</f>
        <v xml:space="preserve"> BIOS Backup on GPT partition from F10</v>
      </c>
      <c r="D108" s="276" t="str">
        <f t="shared" si="7"/>
        <v>P</v>
      </c>
      <c r="E108" s="277" t="str">
        <f>TT_TR("P", "", "")</f>
        <v>P</v>
      </c>
      <c r="F108" s="146" t="s">
        <v>3075</v>
      </c>
      <c r="G108" s="277" t="str">
        <f t="shared" si="8"/>
        <v>P</v>
      </c>
      <c r="H108" s="146" t="s">
        <v>2846</v>
      </c>
      <c r="I108" s="262"/>
    </row>
    <row r="109" spans="3:9" ht="15">
      <c r="C109" s="145" t="str">
        <f>TT_CASE("Boot &amp; Restart", -1, 3, "", "")</f>
        <v xml:space="preserve"> Boot &amp; Restart</v>
      </c>
      <c r="D109" s="276" t="str">
        <f t="shared" ref="D109:D177" si="9">TT_CYCLE(-1)</f>
        <v>P</v>
      </c>
      <c r="E109" s="277" t="str">
        <f>TT_TR("P", "", "")</f>
        <v>P</v>
      </c>
      <c r="F109" s="138" t="s">
        <v>3019</v>
      </c>
      <c r="G109" s="277" t="str">
        <f t="shared" si="8"/>
        <v>P</v>
      </c>
      <c r="H109" s="138" t="s">
        <v>2847</v>
      </c>
      <c r="I109" s="124"/>
    </row>
    <row r="110" spans="3:9" ht="15">
      <c r="C110" s="145" t="str">
        <f>TT_CASE("Boot &amp; Restart After Standby", -1, 3, "", "")</f>
        <v xml:space="preserve"> Boot &amp; Restart After Standby</v>
      </c>
      <c r="D110" s="276" t="str">
        <f t="shared" si="9"/>
        <v>P</v>
      </c>
      <c r="E110" s="277" t="str">
        <f>TT_TR("P", "", "")</f>
        <v>P</v>
      </c>
      <c r="F110" s="138" t="s">
        <v>3020</v>
      </c>
      <c r="G110" s="277" t="str">
        <f t="shared" si="8"/>
        <v>P</v>
      </c>
      <c r="H110" s="138" t="s">
        <v>2848</v>
      </c>
      <c r="I110" s="124"/>
    </row>
    <row r="111" spans="3:9" ht="15">
      <c r="C111" s="145" t="str">
        <f>TT_CASE("Boot &amp; Restart After Hibernation", -1, 3, "", "")</f>
        <v xml:space="preserve"> Boot &amp; Restart After Hibernation</v>
      </c>
      <c r="D111" s="276" t="str">
        <f t="shared" si="9"/>
        <v>P</v>
      </c>
      <c r="E111" s="277" t="str">
        <f>TT_TR("P", "", "")</f>
        <v>P</v>
      </c>
      <c r="F111" s="138" t="s">
        <v>3071</v>
      </c>
      <c r="G111" s="277" t="str">
        <f t="shared" si="8"/>
        <v>P</v>
      </c>
      <c r="H111" s="138" t="s">
        <v>2849</v>
      </c>
      <c r="I111" s="124"/>
    </row>
    <row r="112" spans="3:9" ht="15">
      <c r="C112" s="145" t="str">
        <f>TT_CASE("Boot &amp; Shutdown", -1, 3, "", "")</f>
        <v xml:space="preserve"> Boot &amp; Shutdown</v>
      </c>
      <c r="D112" s="276" t="str">
        <f t="shared" si="9"/>
        <v>P</v>
      </c>
      <c r="E112" s="277" t="str">
        <f>TT_TR("P", "", "")</f>
        <v>P</v>
      </c>
      <c r="F112" s="138" t="s">
        <v>3072</v>
      </c>
      <c r="G112" s="277" t="str">
        <f t="shared" si="8"/>
        <v>P</v>
      </c>
      <c r="H112" s="138" t="s">
        <v>2850</v>
      </c>
      <c r="I112" s="124"/>
    </row>
    <row r="113" spans="2:11" ht="15">
      <c r="C113" s="145" t="str">
        <f>TT_CASE("Boot &amp; Shutdown After Standby", -1, 3, "", "")</f>
        <v xml:space="preserve"> Boot &amp; Shutdown After Standby</v>
      </c>
      <c r="D113" s="276" t="str">
        <f t="shared" si="9"/>
        <v>P</v>
      </c>
      <c r="E113" s="277" t="str">
        <f>TT_TR("P", "", "")</f>
        <v>P</v>
      </c>
      <c r="F113" s="138" t="s">
        <v>3073</v>
      </c>
      <c r="G113" s="277" t="str">
        <f t="shared" si="8"/>
        <v>P</v>
      </c>
      <c r="H113" s="138" t="s">
        <v>2851</v>
      </c>
      <c r="I113" s="124"/>
    </row>
    <row r="114" spans="2:11" ht="15">
      <c r="C114" s="145" t="str">
        <f>TT_CASE("Boot &amp; Shutdown After Hibernation", -1, 3, "", "")</f>
        <v xml:space="preserve"> Boot &amp; Shutdown After Hibernation</v>
      </c>
      <c r="D114" s="276" t="str">
        <f t="shared" si="9"/>
        <v>P</v>
      </c>
      <c r="E114" s="277" t="str">
        <f>TT_TR("P", "", "")</f>
        <v>P</v>
      </c>
      <c r="F114" s="138" t="s">
        <v>3073</v>
      </c>
      <c r="G114" s="277" t="str">
        <f t="shared" si="8"/>
        <v>P</v>
      </c>
      <c r="H114" s="138" t="s">
        <v>2851</v>
      </c>
      <c r="I114" s="124"/>
    </row>
    <row r="115" spans="2:11" ht="15">
      <c r="C115" s="145" t="str">
        <f>TT_CASE("Power Mgmt Speedstep/Powernow Ac-Dc, Dc-Ac", -1, 3, "", "")</f>
        <v xml:space="preserve"> Power Mgmt Speedstep/Powernow Ac-Dc, Dc-Ac</v>
      </c>
      <c r="D115" s="276" t="str">
        <f t="shared" si="9"/>
        <v>P</v>
      </c>
      <c r="E115" s="277" t="str">
        <f>TT_TR("P", "", "")</f>
        <v>P</v>
      </c>
      <c r="F115" s="138" t="s">
        <v>3074</v>
      </c>
      <c r="G115" s="277" t="str">
        <f t="shared" si="8"/>
        <v>P</v>
      </c>
      <c r="H115" s="138" t="s">
        <v>2880</v>
      </c>
      <c r="I115" s="124"/>
    </row>
    <row r="116" spans="2:11" ht="19.5" customHeight="1">
      <c r="C116" s="274" t="s">
        <v>2768</v>
      </c>
      <c r="D116" s="130"/>
      <c r="E116" s="131"/>
      <c r="F116" s="132"/>
      <c r="G116" s="131"/>
      <c r="H116" s="132"/>
      <c r="I116" s="124"/>
    </row>
    <row r="117" spans="2:11" ht="18">
      <c r="C117" s="133" t="str">
        <f>TT_SUITE("Release 2 (Pre OS)", -1, 3)</f>
        <v>▼ Release 2 (Pre OS)</v>
      </c>
      <c r="D117" s="134" t="str">
        <f>TT_ROLLUP(-1, $C117, $C118:$C124)</f>
        <v/>
      </c>
      <c r="E117" s="134" t="str">
        <f>TT_ROLLUP(-1, E117, E117)</f>
        <v/>
      </c>
      <c r="F117" s="132"/>
      <c r="G117" s="134" t="str">
        <f>TT_ROLLUP(-1, $C117, $C118:$C124)</f>
        <v/>
      </c>
      <c r="H117" s="132"/>
      <c r="I117" s="124"/>
    </row>
    <row r="118" spans="2:11" ht="45">
      <c r="B118" s="139"/>
      <c r="C118" s="135" t="str">
        <f>TT_CASE("Security Drivelock (Master &amp; User Passwords) (Setup And Then Remove Pwd on all type of Hard Drives: SATA, SSD and Self Encrypting Drives (SED) -- Notebook Hard Drive and Notebook’s Upgrade Bay Hard Drive.)", -1, 3, "Pre OS")</f>
        <v xml:space="preserve"> Pre OS: Security Drivelock (Master &amp; User Passwords) (Setup And Then Remove Pwd on all type of Hard Drives: SATA, SSD and Self Encrypting Drives (SED) -- Notebook Hard Drive and Notebook’s Upgrade Bay Hard Drive.)</v>
      </c>
      <c r="D118" s="276" t="str">
        <f t="shared" si="0"/>
        <v>P</v>
      </c>
      <c r="E118" s="277" t="str">
        <f>TT_TR("P", "", "")</f>
        <v>P</v>
      </c>
      <c r="F118" s="138" t="s">
        <v>3070</v>
      </c>
      <c r="G118" s="277" t="str">
        <f>TT_TR("P", "", "")</f>
        <v>P</v>
      </c>
      <c r="H118" s="138" t="s">
        <v>2881</v>
      </c>
      <c r="I118" s="124"/>
    </row>
    <row r="119" spans="2:11" ht="45">
      <c r="B119" s="139"/>
      <c r="C119" s="135" t="str">
        <f>TT_CASE("Security AUTOMATIC Drivelock (BiosAdmin Passwords) (Setup And Then Remove Pwd on all type of Hard Drives: SATA, SSD and Self Encrypting Drives (SED) -- Notebook Hard Drive and Notebook’s Upgrade Bay Hard Drive)", -1, 3, "Pre OS")</f>
        <v xml:space="preserve"> Pre OS: Security AUTOMATIC Drivelock (BiosAdmin Passwords) (Setup And Then Remove Pwd on all type of Hard Drives: SATA, SSD and Self Encrypting Drives (SED) -- Notebook Hard Drive and Notebook’s Upgrade Bay Hard Drive)</v>
      </c>
      <c r="D119" s="276" t="str">
        <f t="shared" si="0"/>
        <v>P</v>
      </c>
      <c r="E119" s="277" t="str">
        <f>TT_TR("P", "", "")</f>
        <v>P</v>
      </c>
      <c r="F119" s="138" t="s">
        <v>3070</v>
      </c>
      <c r="G119" s="277" t="str">
        <f>TT_TR("P", "", "")</f>
        <v>P</v>
      </c>
      <c r="H119" s="138" t="s">
        <v>2882</v>
      </c>
      <c r="I119" s="124"/>
    </row>
    <row r="120" spans="2:11" ht="15">
      <c r="C120" s="135" t="str">
        <f>TT_CASE("External Display Closed Lid (LCD Off / Crt On)", -1, 3, "Pre OS")</f>
        <v xml:space="preserve"> Pre OS: External Display Closed Lid (LCD Off / Crt On)</v>
      </c>
      <c r="D120" s="276" t="str">
        <f t="shared" si="0"/>
        <v>P</v>
      </c>
      <c r="E120" s="277" t="str">
        <f>TT_TR("P", "", "")</f>
        <v>P</v>
      </c>
      <c r="F120" s="138" t="s">
        <v>3069</v>
      </c>
      <c r="G120" s="277" t="str">
        <f>TT_TR("P", "", "")</f>
        <v>P</v>
      </c>
      <c r="H120" s="138" t="s">
        <v>2831</v>
      </c>
      <c r="I120" s="124"/>
    </row>
    <row r="121" spans="2:11" ht="15">
      <c r="C121" s="135" t="str">
        <f>TT_CASE("UEFI Native Mode video support", -1, 3)</f>
        <v xml:space="preserve"> UEFI Native Mode video support</v>
      </c>
      <c r="D121" s="276" t="str">
        <f t="shared" si="0"/>
        <v>P</v>
      </c>
      <c r="E121" s="283" t="str">
        <f>TT_TR("P", "", "")</f>
        <v>P</v>
      </c>
      <c r="F121" s="138" t="s">
        <v>3068</v>
      </c>
      <c r="G121" s="283" t="str">
        <f>TT_TR("P", "", "")</f>
        <v>P</v>
      </c>
      <c r="H121" s="138" t="s">
        <v>2832</v>
      </c>
      <c r="I121" s="124"/>
    </row>
    <row r="122" spans="2:11" ht="15.75">
      <c r="C122" s="255" t="s">
        <v>2709</v>
      </c>
      <c r="D122" s="136"/>
      <c r="E122" s="140"/>
      <c r="F122" s="138"/>
      <c r="G122" s="140"/>
      <c r="H122" s="138"/>
      <c r="I122" s="124"/>
    </row>
    <row r="123" spans="2:11">
      <c r="C123" s="248" t="str">
        <f>TT_CASE("Stratus Bios Upgrade", -1, 3)</f>
        <v xml:space="preserve"> Stratus Bios Upgrade</v>
      </c>
      <c r="D123" s="276" t="str">
        <f t="shared" si="3"/>
        <v>P</v>
      </c>
      <c r="E123" s="277" t="str">
        <f>TT_TR("P", "", "")</f>
        <v>P</v>
      </c>
      <c r="F123" s="138" t="s">
        <v>3067</v>
      </c>
      <c r="G123" s="277" t="str">
        <f>TT_TR("P", "", "")</f>
        <v>P</v>
      </c>
      <c r="H123" s="138" t="s">
        <v>2833</v>
      </c>
      <c r="I123" s="124"/>
      <c r="J123" s="122"/>
      <c r="K123" s="122"/>
    </row>
    <row r="124" spans="2:11">
      <c r="C124" s="248" t="str">
        <f>TT_CASE("Stratus Bios Downgrade", -1, 3)</f>
        <v xml:space="preserve"> Stratus Bios Downgrade</v>
      </c>
      <c r="D124" s="276" t="str">
        <f t="shared" si="3"/>
        <v>P</v>
      </c>
      <c r="E124" s="277" t="str">
        <f>TT_TR("P", "", "")</f>
        <v>P</v>
      </c>
      <c r="F124" s="138" t="s">
        <v>3066</v>
      </c>
      <c r="G124" s="277" t="str">
        <f>TT_TR("P", "", "")</f>
        <v>P</v>
      </c>
      <c r="H124" s="138" t="s">
        <v>2834</v>
      </c>
      <c r="I124" s="124"/>
      <c r="J124" s="122"/>
      <c r="K124" s="122"/>
    </row>
    <row r="125" spans="2:11" ht="18">
      <c r="C125" s="133" t="str">
        <f>TT_SUITE("Release 2 (FreeDOS 2.0)", -1, 3)</f>
        <v>▼ Release 2 (FreeDOS 2.0)</v>
      </c>
      <c r="D125" s="134" t="str">
        <f>TT_ROLLUP(-1, $C125, $C126:$C135)</f>
        <v/>
      </c>
      <c r="E125" s="134" t="str">
        <f>TT_ROLLUP(-1, E125, E125)</f>
        <v/>
      </c>
      <c r="F125" s="138"/>
      <c r="G125" s="134" t="str">
        <f>TT_ROLLUP(-1, $C125, $C126:$C135)</f>
        <v/>
      </c>
      <c r="H125" s="138"/>
      <c r="I125" s="124"/>
    </row>
    <row r="126" spans="2:11" ht="15">
      <c r="C126" s="291" t="s">
        <v>153</v>
      </c>
      <c r="D126" s="291" t="str">
        <f>TT_LOCK(5)</f>
        <v/>
      </c>
      <c r="E126" s="291" t="s">
        <v>2483</v>
      </c>
      <c r="F126" s="138"/>
      <c r="G126" s="291" t="s">
        <v>2483</v>
      </c>
      <c r="H126" s="138"/>
      <c r="I126" s="124"/>
    </row>
    <row r="127" spans="2:11" ht="15">
      <c r="C127" s="291" t="s">
        <v>2484</v>
      </c>
      <c r="D127" s="291" t="str">
        <f>TT_LOCK(5)</f>
        <v/>
      </c>
      <c r="E127" s="291"/>
      <c r="F127" s="138"/>
      <c r="G127" s="291"/>
      <c r="H127" s="138"/>
      <c r="I127" s="124"/>
    </row>
    <row r="128" spans="2:11" ht="15">
      <c r="C128" s="291" t="s">
        <v>2485</v>
      </c>
      <c r="D128" s="291" t="str">
        <f>TT_LOCK(5)</f>
        <v/>
      </c>
      <c r="E128" s="291"/>
      <c r="F128" s="138"/>
      <c r="G128" s="291"/>
      <c r="H128" s="138"/>
      <c r="I128" s="124"/>
    </row>
    <row r="129" spans="3:11" ht="15">
      <c r="C129" s="291" t="s">
        <v>2486</v>
      </c>
      <c r="D129" s="291" t="str">
        <f>TT_LOCK(5)</f>
        <v/>
      </c>
      <c r="E129" s="291"/>
      <c r="F129" s="132"/>
      <c r="G129" s="291"/>
      <c r="H129" s="132"/>
      <c r="I129" s="124"/>
    </row>
    <row r="130" spans="3:11" ht="15">
      <c r="C130" s="291" t="s">
        <v>2487</v>
      </c>
      <c r="D130" s="291" t="str">
        <f>TT_LOCK(5)</f>
        <v/>
      </c>
      <c r="E130" s="291"/>
      <c r="F130" s="138"/>
      <c r="G130" s="291"/>
      <c r="H130" s="138"/>
      <c r="I130" s="124"/>
    </row>
    <row r="131" spans="3:11" ht="15">
      <c r="C131" s="135" t="str">
        <f ca="1">TT_CASE("Flash - Bios Crisis Recovery (Win+B or all 4 arrow keys)", -1, 3, "FreeDOS")</f>
        <v xml:space="preserve"> FreeDOS: Flash - Bios Crisis Recovery (Win+B or all 4 arrow keys)</v>
      </c>
      <c r="D131" s="276" t="str">
        <f t="shared" ref="D131:D135" si="10">TT_CYCLE(-1)</f>
        <v>P</v>
      </c>
      <c r="E131" s="277" t="str">
        <f>TT_TR("P", "", "")</f>
        <v>P</v>
      </c>
      <c r="F131" s="138" t="s">
        <v>3038</v>
      </c>
      <c r="G131" s="277" t="str">
        <f>TT_TR("P", "", "")</f>
        <v>P</v>
      </c>
      <c r="H131" s="138" t="s">
        <v>2852</v>
      </c>
      <c r="I131" s="124"/>
    </row>
    <row r="132" spans="3:11" ht="15">
      <c r="C132" s="135" t="str">
        <f ca="1">TT_CASE("Flash - Bios Crisis Recovery on GPT partition (UEFI) OS", -1, 3, "FreeDOS")</f>
        <v xml:space="preserve"> FreeDOS: Flash - Bios Crisis Recovery on GPT partition (UEFI) OS</v>
      </c>
      <c r="D132" s="276" t="str">
        <f t="shared" si="10"/>
        <v>P</v>
      </c>
      <c r="E132" s="280" t="str">
        <f>TT_TR("P", "", "")</f>
        <v>P</v>
      </c>
      <c r="F132" s="138" t="s">
        <v>3039</v>
      </c>
      <c r="G132" s="280" t="str">
        <f>TT_TR("P", "", "")</f>
        <v>P</v>
      </c>
      <c r="H132" s="138" t="s">
        <v>2853</v>
      </c>
      <c r="I132" s="124"/>
    </row>
    <row r="133" spans="3:11" ht="15">
      <c r="C133" s="135" t="str">
        <f>TT_CASE(" Bios Downgrade from F.2X or B.9X bios to a non F.2X or B.9X bios by SMC key usage", -1, 3)</f>
        <v xml:space="preserve"> Bios Downgrade from F.2X or B.9X bios to a non F.2X or B.9X bios by SMC key usage</v>
      </c>
      <c r="D133" s="278" t="str">
        <f t="shared" si="10"/>
        <v>NA</v>
      </c>
      <c r="E133" s="284" t="str">
        <f>TT_TR("NA", "", "This is B-series Bios")</f>
        <v>NA</v>
      </c>
      <c r="F133" s="138" t="s">
        <v>3040</v>
      </c>
      <c r="G133" s="284" t="str">
        <f>TT_TR("NA", "", "This is B-series Bios")</f>
        <v>NA</v>
      </c>
      <c r="H133" s="138" t="s">
        <v>2854</v>
      </c>
      <c r="I133" s="124"/>
    </row>
    <row r="134" spans="3:11" ht="15">
      <c r="C134" s="135" t="str">
        <f ca="1">TT_CASE("Checking AMT/ME version (supported platforms)", -1, 3, "FreeDOS")</f>
        <v xml:space="preserve"> FreeDOS: Checking AMT/ME version (supported platforms)</v>
      </c>
      <c r="D134" s="276" t="str">
        <f t="shared" si="10"/>
        <v>P</v>
      </c>
      <c r="E134" s="277" t="str">
        <f>TT_TR("P", "", "")</f>
        <v>P</v>
      </c>
      <c r="F134" s="138" t="s">
        <v>3041</v>
      </c>
      <c r="G134" s="277" t="str">
        <f>TT_TR("P", "", "")</f>
        <v>P</v>
      </c>
      <c r="H134" s="138" t="s">
        <v>2878</v>
      </c>
      <c r="I134" s="124"/>
      <c r="K134" s="122"/>
    </row>
    <row r="135" spans="3:11" ht="15">
      <c r="C135" s="135" t="str">
        <f ca="1">TT_CASE("Checking PCR[00] - TPM supported platforms", -1, 3, "FreeDOS")</f>
        <v xml:space="preserve"> FreeDOS: Checking PCR[00] - TPM supported platforms</v>
      </c>
      <c r="D135" s="281" t="str">
        <f t="shared" si="10"/>
        <v>F</v>
      </c>
      <c r="E135" s="282" t="str">
        <f>TT_TR("F", "", "")</f>
        <v>F</v>
      </c>
      <c r="F135" s="138" t="s">
        <v>3042</v>
      </c>
      <c r="G135" s="282" t="str">
        <f>TT_TR("F", "", "")</f>
        <v>F</v>
      </c>
      <c r="H135" s="138" t="s">
        <v>2879</v>
      </c>
      <c r="I135" s="124"/>
    </row>
    <row r="136" spans="3:11" ht="18">
      <c r="C136" s="142" t="str">
        <f>TT_SUITE("Release 2 (32-Bit Supported Os)", -1, 3)</f>
        <v>▼ Release 2 (32-Bit Supported Os)</v>
      </c>
      <c r="D136" s="143" t="str">
        <f>TT_ROLLUP(-1, $C136, $C137:$C159)</f>
        <v/>
      </c>
      <c r="E136" s="143" t="str">
        <f>TT_ROLLUP(-1, E136, E136)</f>
        <v/>
      </c>
      <c r="F136" s="138"/>
      <c r="G136" s="143" t="str">
        <f>TT_ROLLUP(-1, $C136, $C137:$C159)</f>
        <v/>
      </c>
      <c r="H136" s="138"/>
      <c r="I136" s="124"/>
    </row>
    <row r="137" spans="3:11" ht="15">
      <c r="C137" s="135" t="str">
        <f>TT_CASE("Release Verification (Fixes, Enhancements, New Features)", -1, 3)</f>
        <v xml:space="preserve"> Release Verification (Fixes, Enhancements, New Features)</v>
      </c>
      <c r="D137" s="276" t="str">
        <f t="shared" si="3"/>
        <v>P</v>
      </c>
      <c r="E137" s="277" t="str">
        <f>TT_TR("P", "", "")</f>
        <v>P</v>
      </c>
      <c r="F137" s="138" t="s">
        <v>3043</v>
      </c>
      <c r="G137" s="279" t="str">
        <f t="shared" ref="E137:G153" si="11">TT_TR("NA", "", "Not support Win8.1 32bit")</f>
        <v>NA</v>
      </c>
      <c r="H137" s="138" t="s">
        <v>2857</v>
      </c>
      <c r="I137" s="124"/>
    </row>
    <row r="138" spans="3:11" s="295" customFormat="1" ht="18">
      <c r="C138" s="180" t="str">
        <f>TT_CASE("Bluetooth", -1, 3)</f>
        <v xml:space="preserve"> Bluetooth</v>
      </c>
      <c r="D138" s="276" t="str">
        <f>TT_CYCLE(-1)</f>
        <v>P</v>
      </c>
      <c r="E138" s="286" t="str">
        <f>TT_TR("P", "", "")</f>
        <v>P</v>
      </c>
      <c r="F138" s="191" t="s">
        <v>3044</v>
      </c>
      <c r="G138" s="285" t="str">
        <f t="shared" si="11"/>
        <v>NA</v>
      </c>
      <c r="H138" s="191" t="s">
        <v>2858</v>
      </c>
      <c r="I138" s="294"/>
    </row>
    <row r="139" spans="3:11" s="295" customFormat="1" ht="18">
      <c r="C139" s="180" t="str">
        <f>TT_CASE("WWAN", -1, 3)</f>
        <v xml:space="preserve"> WWAN</v>
      </c>
      <c r="D139" s="276" t="str">
        <f>TT_CYCLE(-1)</f>
        <v>P</v>
      </c>
      <c r="E139" s="286" t="str">
        <f>TT_TR("P", "", "")</f>
        <v>P</v>
      </c>
      <c r="F139" s="191" t="s">
        <v>3045</v>
      </c>
      <c r="G139" s="285" t="str">
        <f t="shared" si="11"/>
        <v>NA</v>
      </c>
      <c r="H139" s="191" t="s">
        <v>2858</v>
      </c>
      <c r="I139" s="294"/>
    </row>
    <row r="140" spans="3:11" s="295" customFormat="1" ht="18">
      <c r="C140" s="180" t="str">
        <f>TT_CASE("Camera", -1, 3)</f>
        <v xml:space="preserve"> Camera</v>
      </c>
      <c r="D140" s="276" t="str">
        <f>TT_CYCLE(-1)</f>
        <v>P</v>
      </c>
      <c r="E140" s="286" t="str">
        <f>TT_TR("P", "", "")</f>
        <v>P</v>
      </c>
      <c r="F140" s="191" t="s">
        <v>3046</v>
      </c>
      <c r="G140" s="285" t="str">
        <f t="shared" si="11"/>
        <v>NA</v>
      </c>
      <c r="H140" s="191" t="s">
        <v>2858</v>
      </c>
      <c r="I140" s="294"/>
      <c r="K140" s="122"/>
    </row>
    <row r="141" spans="3:11" s="295" customFormat="1" ht="18">
      <c r="C141" s="180" t="str">
        <f>TT_CASE("Finger Print Sensor", -1, 3)</f>
        <v xml:space="preserve"> Finger Print Sensor</v>
      </c>
      <c r="D141" s="278" t="str">
        <f>TT_CYCLE(-1)</f>
        <v>NA</v>
      </c>
      <c r="E141" s="285" t="str">
        <f>TT_TR("NA", "", "Not support FPT")</f>
        <v>NA</v>
      </c>
      <c r="F141" s="191" t="s">
        <v>3047</v>
      </c>
      <c r="G141" s="285" t="str">
        <f t="shared" si="11"/>
        <v>NA</v>
      </c>
      <c r="H141" s="191" t="s">
        <v>2858</v>
      </c>
      <c r="I141" s="294"/>
    </row>
    <row r="142" spans="3:11" s="295" customFormat="1" ht="18">
      <c r="C142" s="180" t="str">
        <f>TT_CASE("Smart Card reader port", -1, 3)</f>
        <v xml:space="preserve"> Smart Card reader port</v>
      </c>
      <c r="D142" s="278" t="str">
        <f>TT_CYCLE(-1)</f>
        <v>NA</v>
      </c>
      <c r="E142" s="285" t="str">
        <f>TT_TR("NA", "", "Not support Smart Card")</f>
        <v>NA</v>
      </c>
      <c r="F142" s="191" t="s">
        <v>3048</v>
      </c>
      <c r="G142" s="285" t="str">
        <f t="shared" si="11"/>
        <v>NA</v>
      </c>
      <c r="H142" s="191" t="s">
        <v>2858</v>
      </c>
      <c r="I142" s="294"/>
    </row>
    <row r="143" spans="3:11" ht="15">
      <c r="C143" s="135" t="str">
        <f>TT_CASE("SelfTest tool (Intel platform only)", -1, 3)</f>
        <v xml:space="preserve"> SelfTest tool (Intel platform only)</v>
      </c>
      <c r="D143" s="276" t="str">
        <f t="shared" si="3"/>
        <v>P</v>
      </c>
      <c r="E143" s="277" t="str">
        <f>TT_TR("P", "", "")</f>
        <v>P</v>
      </c>
      <c r="F143" s="138" t="s">
        <v>3049</v>
      </c>
      <c r="G143" s="279" t="str">
        <f t="shared" si="11"/>
        <v>NA</v>
      </c>
      <c r="H143" s="138" t="s">
        <v>2858</v>
      </c>
      <c r="I143" s="124"/>
    </row>
    <row r="144" spans="3:11" ht="15">
      <c r="C144" s="145" t="str">
        <f>TT_CASE("Panel VariBright on AC/DC (verify panel increments/decrements)", -1, 3)</f>
        <v xml:space="preserve"> Panel VariBright on AC/DC (verify panel increments/decrements)</v>
      </c>
      <c r="D144" s="276" t="str">
        <f t="shared" si="3"/>
        <v>P</v>
      </c>
      <c r="E144" s="277" t="str">
        <f>TT_TR("P", "", "")</f>
        <v>P</v>
      </c>
      <c r="F144" s="138" t="s">
        <v>3050</v>
      </c>
      <c r="G144" s="279" t="str">
        <f t="shared" si="11"/>
        <v>NA</v>
      </c>
      <c r="H144" s="138" t="s">
        <v>2858</v>
      </c>
      <c r="I144" s="124"/>
    </row>
    <row r="145" spans="3:13" ht="15">
      <c r="C145" s="145" t="str">
        <f>TT_CASE("External Display Switching (Lcd, Crt, Dvi, HDMI)", -1, 3)</f>
        <v xml:space="preserve"> External Display Switching (Lcd, Crt, Dvi, HDMI)</v>
      </c>
      <c r="D145" s="276" t="str">
        <f t="shared" si="3"/>
        <v>P</v>
      </c>
      <c r="E145" s="277" t="str">
        <f>TT_TR("P", "", "")</f>
        <v>P</v>
      </c>
      <c r="F145" s="138" t="s">
        <v>3065</v>
      </c>
      <c r="G145" s="279" t="str">
        <f t="shared" si="11"/>
        <v>NA</v>
      </c>
      <c r="H145" s="138" t="s">
        <v>2858</v>
      </c>
      <c r="I145" s="124"/>
    </row>
    <row r="146" spans="3:13" ht="15">
      <c r="C146" s="145" t="str">
        <f>TT_CASE("MS ZPODD Win8 only", -1, 3)</f>
        <v xml:space="preserve"> MS ZPODD Win8 only</v>
      </c>
      <c r="D146" s="278" t="str">
        <f t="shared" si="3"/>
        <v>NA</v>
      </c>
      <c r="E146" s="279" t="str">
        <f>TT_TR("NA", "", "Not support ODD")</f>
        <v>NA</v>
      </c>
      <c r="F146" s="138" t="s">
        <v>3051</v>
      </c>
      <c r="G146" s="279" t="str">
        <f t="shared" si="11"/>
        <v>NA</v>
      </c>
      <c r="H146" s="138" t="s">
        <v>2858</v>
      </c>
      <c r="I146" s="124"/>
    </row>
    <row r="147" spans="3:13" ht="15">
      <c r="C147" s="145" t="str">
        <f>TT_CASE("Network Connectivity in OS", -1, 3)</f>
        <v xml:space="preserve"> Network Connectivity in OS</v>
      </c>
      <c r="D147" s="276" t="str">
        <f t="shared" si="3"/>
        <v>P</v>
      </c>
      <c r="E147" s="277" t="str">
        <f>TT_TR("P", "", "")</f>
        <v>P</v>
      </c>
      <c r="F147" s="138" t="s">
        <v>3064</v>
      </c>
      <c r="G147" s="279" t="str">
        <f t="shared" si="11"/>
        <v>NA</v>
      </c>
      <c r="H147" s="138" t="s">
        <v>2858</v>
      </c>
      <c r="I147" s="124"/>
    </row>
    <row r="148" spans="3:13" ht="15">
      <c r="C148" s="145" t="str">
        <f>TT_CASE("Docking Adv. Pr Cold Dock/Boot And Cold Undock", -1, 3)</f>
        <v xml:space="preserve"> Docking Adv. Pr Cold Dock/Boot And Cold Undock</v>
      </c>
      <c r="D148" s="276" t="str">
        <f t="shared" si="3"/>
        <v>P</v>
      </c>
      <c r="E148" s="277" t="str">
        <f>TT_TR("P", "", "")</f>
        <v>P</v>
      </c>
      <c r="F148" s="138" t="s">
        <v>3052</v>
      </c>
      <c r="G148" s="279" t="str">
        <f t="shared" si="11"/>
        <v>NA</v>
      </c>
      <c r="H148" s="138" t="s">
        <v>2858</v>
      </c>
      <c r="I148" s="124"/>
    </row>
    <row r="149" spans="3:13" ht="15">
      <c r="C149" s="145" t="str">
        <f>TT_CASE("Docking Adv. Pr Hot Dock/Undock", -1, 3)</f>
        <v xml:space="preserve"> Docking Adv. Pr Hot Dock/Undock</v>
      </c>
      <c r="D149" s="276" t="str">
        <f t="shared" si="3"/>
        <v>P</v>
      </c>
      <c r="E149" s="277" t="str">
        <f>TT_TR("P", "", "")</f>
        <v>P</v>
      </c>
      <c r="F149" s="138" t="s">
        <v>3052</v>
      </c>
      <c r="G149" s="279" t="str">
        <f t="shared" si="11"/>
        <v>NA</v>
      </c>
      <c r="H149" s="138" t="s">
        <v>2858</v>
      </c>
      <c r="I149" s="124"/>
    </row>
    <row r="150" spans="3:13" ht="15">
      <c r="C150" s="145" t="str">
        <f>TT_CASE("Docking Adv. Pr Warm Boot, , Standby/Resume, Hibernation/Resume", -1, 3)</f>
        <v xml:space="preserve"> Docking Adv. Pr Warm Boot, , Standby/Resume, Hibernation/Resume</v>
      </c>
      <c r="D150" s="276" t="str">
        <f t="shared" si="3"/>
        <v>P</v>
      </c>
      <c r="E150" s="277" t="str">
        <f>TT_TR("P", "", "")</f>
        <v>P</v>
      </c>
      <c r="F150" s="138" t="s">
        <v>3053</v>
      </c>
      <c r="G150" s="279" t="str">
        <f t="shared" si="11"/>
        <v>NA</v>
      </c>
      <c r="H150" s="138" t="s">
        <v>2858</v>
      </c>
      <c r="I150" s="124"/>
    </row>
    <row r="151" spans="3:13" ht="15">
      <c r="C151" s="145" t="str">
        <f>TT_CASE("Docking Adv. Pr Shutdown\Off", -1, 3)</f>
        <v xml:space="preserve"> Docking Adv. Pr Shutdown\Off</v>
      </c>
      <c r="D151" s="276" t="str">
        <f t="shared" si="3"/>
        <v>P</v>
      </c>
      <c r="E151" s="277" t="str">
        <f>TT_TR("P", "", "")</f>
        <v>P</v>
      </c>
      <c r="F151" s="138" t="s">
        <v>3054</v>
      </c>
      <c r="G151" s="279" t="str">
        <f t="shared" si="11"/>
        <v>NA</v>
      </c>
      <c r="H151" s="138" t="s">
        <v>2858</v>
      </c>
      <c r="I151" s="124"/>
    </row>
    <row r="152" spans="3:13" ht="15">
      <c r="C152" s="145" t="str">
        <f>TT_CASE("MPM mode Enable from Windows", -1, 3, "", "")</f>
        <v xml:space="preserve"> MPM mode Enable from Windows</v>
      </c>
      <c r="D152" s="276" t="str">
        <f t="shared" si="3"/>
        <v>P</v>
      </c>
      <c r="E152" s="277" t="str">
        <f>TT_TR("P", "", "")</f>
        <v>P</v>
      </c>
      <c r="F152" s="138" t="s">
        <v>3055</v>
      </c>
      <c r="G152" s="279" t="str">
        <f t="shared" si="11"/>
        <v>NA</v>
      </c>
      <c r="H152" s="138" t="s">
        <v>2858</v>
      </c>
      <c r="I152" s="124"/>
      <c r="K152" s="122"/>
    </row>
    <row r="153" spans="3:13" ht="15">
      <c r="C153" s="135" t="str">
        <f>TT_CASE("Devices USB (Mice, Keyboards) Hot Plug/Unplug", -1, 3)</f>
        <v xml:space="preserve"> Devices USB (Mice, Keyboards) Hot Plug/Unplug</v>
      </c>
      <c r="D153" s="276" t="str">
        <f t="shared" si="3"/>
        <v>P</v>
      </c>
      <c r="E153" s="277" t="str">
        <f>TT_TR("P", "", "")</f>
        <v>P</v>
      </c>
      <c r="F153" s="138" t="s">
        <v>3056</v>
      </c>
      <c r="G153" s="279" t="str">
        <f t="shared" si="11"/>
        <v>NA</v>
      </c>
      <c r="H153" s="138" t="s">
        <v>2858</v>
      </c>
      <c r="I153" s="124"/>
    </row>
    <row r="154" spans="3:13" ht="15.75">
      <c r="C154" s="255" t="s">
        <v>2690</v>
      </c>
      <c r="D154" s="136"/>
      <c r="E154" s="137"/>
      <c r="F154" s="138"/>
      <c r="G154" s="137"/>
      <c r="H154" s="138"/>
      <c r="I154" s="124"/>
      <c r="J154" s="122"/>
    </row>
    <row r="155" spans="3:13" s="260" customFormat="1" ht="15">
      <c r="C155" s="180" t="str">
        <f>TT_CASE("Core Test 7.1.1 - BIOS Update - Delay Mode Upgrade - FB Policy - Unlocked", -1, 3)</f>
        <v xml:space="preserve"> Core Test 7.1.1 - BIOS Update - Delay Mode Upgrade - FB Policy - Unlocked</v>
      </c>
      <c r="D155" s="276" t="str">
        <f t="shared" si="3"/>
        <v>P</v>
      </c>
      <c r="E155" s="277" t="str">
        <f>TT_TR("P", "", "")</f>
        <v>P</v>
      </c>
      <c r="F155" s="257" t="s">
        <v>3057</v>
      </c>
      <c r="G155" s="279" t="str">
        <f>TT_TR("NA", "", "Not support Win8.1 32bit")</f>
        <v>NA</v>
      </c>
      <c r="H155" s="257" t="s">
        <v>2858</v>
      </c>
      <c r="I155" s="258"/>
      <c r="J155" s="259"/>
    </row>
    <row r="156" spans="3:13" s="260" customFormat="1" ht="15">
      <c r="C156" s="180" t="str">
        <f>TT_CASE("Core Test 7.2.2 - BIOS Update - Delay Mode Downgrade - FB Policy - Locked", -1, 3)</f>
        <v xml:space="preserve"> Core Test 7.2.2 - BIOS Update - Delay Mode Downgrade - FB Policy - Locked</v>
      </c>
      <c r="D156" s="276" t="str">
        <f t="shared" si="3"/>
        <v>P</v>
      </c>
      <c r="E156" s="277" t="str">
        <f>TT_TR("P", "", "")</f>
        <v>P</v>
      </c>
      <c r="F156" s="257" t="s">
        <v>3057</v>
      </c>
      <c r="G156" s="279" t="str">
        <f>TT_TR("NA", "", "Not support Win8.1 32bit")</f>
        <v>NA</v>
      </c>
      <c r="H156" s="257" t="s">
        <v>2858</v>
      </c>
      <c r="I156" s="258"/>
      <c r="J156" s="122"/>
    </row>
    <row r="157" spans="3:13" s="260" customFormat="1" ht="15">
      <c r="C157" s="180" t="str">
        <f>TT_CASE("Core Test 7.3.1 CP - BIOS Update - NonDelay Mode Upgrade - FB Policy - Unlocked", -1, 3)</f>
        <v xml:space="preserve"> Core Test 7.3.1 CP - BIOS Update - NonDelay Mode Upgrade - FB Policy - Unlocked</v>
      </c>
      <c r="D157" s="276" t="str">
        <f t="shared" si="3"/>
        <v>P</v>
      </c>
      <c r="E157" s="277" t="str">
        <f>TT_TR("P", "", "")</f>
        <v>P</v>
      </c>
      <c r="F157" s="257" t="s">
        <v>3058</v>
      </c>
      <c r="G157" s="279" t="str">
        <f>TT_TR("NA", "", "Not support Win8.1 32bit")</f>
        <v>NA</v>
      </c>
      <c r="H157" s="257" t="s">
        <v>2858</v>
      </c>
      <c r="I157" s="258"/>
      <c r="J157" s="259"/>
    </row>
    <row r="158" spans="3:13" s="260" customFormat="1" ht="15">
      <c r="C158" s="180" t="str">
        <f>TT_CASE("Core Test 7.4.2 CP - BIOS Update - NonDelay Mode Downgrade - FB Policy - Locked", -1, 3)</f>
        <v xml:space="preserve"> Core Test 7.4.2 CP - BIOS Update - NonDelay Mode Downgrade - FB Policy - Locked</v>
      </c>
      <c r="D158" s="276" t="str">
        <f t="shared" si="3"/>
        <v>P</v>
      </c>
      <c r="E158" s="277" t="str">
        <f>TT_TR("P", "", "")</f>
        <v>P</v>
      </c>
      <c r="F158" s="257" t="s">
        <v>3058</v>
      </c>
      <c r="G158" s="279" t="str">
        <f>TT_TR("NA", "", "Not support Win8.1 32bit")</f>
        <v>NA</v>
      </c>
      <c r="H158" s="257" t="s">
        <v>2858</v>
      </c>
      <c r="I158" s="258"/>
      <c r="J158" s="122"/>
    </row>
    <row r="159" spans="3:13" s="260" customFormat="1" ht="30">
      <c r="C159" s="180" t="str">
        <f>TT_CASE("Core Test 12.1.4 - BB Recovery Time – BIOS Update Time Check HP Update BIOS FLASH Time Check with Unlock Auto mode ", -1, 3)</f>
        <v xml:space="preserve"> Core Test 12.1.4 - BB Recovery Time – BIOS Update Time Check HP Update BIOS FLASH Time Check with Unlock Auto mode</v>
      </c>
      <c r="D159" s="276" t="str">
        <f t="shared" si="3"/>
        <v>P</v>
      </c>
      <c r="E159" s="277" t="str">
        <f>TT_TR("P", "", "")</f>
        <v>P</v>
      </c>
      <c r="F159" s="257" t="s">
        <v>3059</v>
      </c>
      <c r="G159" s="279" t="str">
        <f>TT_TR("NA", "", "Not support Win8.1 32bit")</f>
        <v>NA</v>
      </c>
      <c r="H159" s="257" t="s">
        <v>2858</v>
      </c>
      <c r="I159" s="258"/>
      <c r="J159" s="259"/>
      <c r="K159" s="259"/>
      <c r="L159" s="122"/>
      <c r="M159" s="122"/>
    </row>
    <row r="160" spans="3:13" ht="18">
      <c r="C160" s="142" t="str">
        <f>TT_SUITE("Release 2 (64-Bit Supported Os)", -1, 3)</f>
        <v>▼ Release 2 (64-Bit Supported Os)</v>
      </c>
      <c r="D160" s="143" t="str">
        <f>TT_ROLLUP(-1, $C160, $C161:$C184)</f>
        <v/>
      </c>
      <c r="E160" s="143" t="str">
        <f>TT_ROLLUP(-1, E160, E160)</f>
        <v/>
      </c>
      <c r="F160" s="138"/>
      <c r="G160" s="143" t="str">
        <f>TT_ROLLUP(-1, $C160, $C161:$C184)</f>
        <v/>
      </c>
      <c r="H160" s="138"/>
      <c r="I160" s="124"/>
    </row>
    <row r="161" spans="3:10" ht="15">
      <c r="C161" s="145" t="str">
        <f>TT_CASE("Release Verification (Fixes, Enhancements, New Features)", -1, 3, "", "")</f>
        <v xml:space="preserve"> Release Verification (Fixes, Enhancements, New Features)</v>
      </c>
      <c r="D161" s="276" t="str">
        <f t="shared" si="7"/>
        <v>P</v>
      </c>
      <c r="E161" s="277" t="str">
        <f>TT_TR("P", "", "")</f>
        <v>P</v>
      </c>
      <c r="F161" s="138" t="s">
        <v>3021</v>
      </c>
      <c r="G161" s="277" t="str">
        <f>TT_TR("P", "", "")</f>
        <v>P</v>
      </c>
      <c r="H161" s="138" t="s">
        <v>2877</v>
      </c>
      <c r="I161" s="124"/>
    </row>
    <row r="162" spans="3:10" s="295" customFormat="1" ht="18">
      <c r="C162" s="180" t="str">
        <f>TT_CASE("Bluetooth", -1, 3)</f>
        <v xml:space="preserve"> Bluetooth</v>
      </c>
      <c r="D162" s="276" t="str">
        <f>TT_CYCLE(-1)</f>
        <v>P</v>
      </c>
      <c r="E162" s="286" t="str">
        <f>TT_TR("P", "", "")</f>
        <v>P</v>
      </c>
      <c r="F162" s="191" t="s">
        <v>3022</v>
      </c>
      <c r="G162" s="286" t="str">
        <f>TT_TR("P", "", "")</f>
        <v>P</v>
      </c>
      <c r="H162" s="191" t="s">
        <v>2855</v>
      </c>
      <c r="I162" s="294"/>
    </row>
    <row r="163" spans="3:10" s="295" customFormat="1" ht="18">
      <c r="C163" s="180" t="str">
        <f>TT_CASE("WWAN", -1, 3)</f>
        <v xml:space="preserve"> WWAN</v>
      </c>
      <c r="D163" s="276" t="str">
        <f>TT_CYCLE(-1)</f>
        <v>P</v>
      </c>
      <c r="E163" s="286" t="str">
        <f>TT_TR("P", "", "")</f>
        <v>P</v>
      </c>
      <c r="F163" s="191" t="s">
        <v>3063</v>
      </c>
      <c r="G163" s="286" t="str">
        <f>TT_TR("P", "", "")</f>
        <v>P</v>
      </c>
      <c r="H163" s="191" t="s">
        <v>2856</v>
      </c>
      <c r="I163" s="294"/>
    </row>
    <row r="164" spans="3:10" s="295" customFormat="1" ht="18">
      <c r="C164" s="180" t="str">
        <f>TT_CASE("Camera", -1, 3)</f>
        <v xml:space="preserve"> Camera</v>
      </c>
      <c r="D164" s="276" t="str">
        <f>TT_CYCLE(-1)</f>
        <v>P</v>
      </c>
      <c r="E164" s="286" t="str">
        <f>TT_TR("P", "", "")</f>
        <v>P</v>
      </c>
      <c r="F164" s="191" t="s">
        <v>3025</v>
      </c>
      <c r="G164" s="286" t="str">
        <f>TT_TR("P", "", "")</f>
        <v>P</v>
      </c>
      <c r="H164" s="191" t="s">
        <v>2859</v>
      </c>
      <c r="I164" s="294"/>
    </row>
    <row r="165" spans="3:10" s="295" customFormat="1" ht="18">
      <c r="C165" s="180" t="str">
        <f>TT_CASE("Finger Print Sensor", -1, 3)</f>
        <v xml:space="preserve"> Finger Print Sensor</v>
      </c>
      <c r="D165" s="278" t="str">
        <f>TT_CYCLE(-1)</f>
        <v>NA</v>
      </c>
      <c r="E165" s="285" t="str">
        <f>TT_TR("NA", "", "Not support FPT")</f>
        <v>NA</v>
      </c>
      <c r="F165" s="191" t="s">
        <v>3023</v>
      </c>
      <c r="G165" s="285" t="str">
        <f>TT_TR("NA", "", "Not support FPT")</f>
        <v>NA</v>
      </c>
      <c r="H165" s="191" t="s">
        <v>2860</v>
      </c>
      <c r="I165" s="294"/>
    </row>
    <row r="166" spans="3:10" s="295" customFormat="1" ht="18">
      <c r="C166" s="180" t="str">
        <f>TT_CASE("Smart Card reader port", -1, 3)</f>
        <v xml:space="preserve"> Smart Card reader port</v>
      </c>
      <c r="D166" s="278" t="str">
        <f>TT_CYCLE(-1)</f>
        <v>NA</v>
      </c>
      <c r="E166" s="285" t="str">
        <f>TT_TR("NA", "", "Not support Smart Card")</f>
        <v>NA</v>
      </c>
      <c r="F166" s="191" t="s">
        <v>3024</v>
      </c>
      <c r="G166" s="285" t="str">
        <f>TT_TR("NA", "", "Not support Smart Card")</f>
        <v>NA</v>
      </c>
      <c r="H166" s="191" t="s">
        <v>2861</v>
      </c>
      <c r="I166" s="294"/>
    </row>
    <row r="167" spans="3:10" ht="15">
      <c r="C167" s="135" t="str">
        <f>TT_CASE("SelfTest tool (Intel platform only)", -1, 3)</f>
        <v xml:space="preserve"> SelfTest tool (Intel platform only)</v>
      </c>
      <c r="D167" s="276" t="str">
        <f t="shared" si="7"/>
        <v>P</v>
      </c>
      <c r="E167" s="277" t="str">
        <f>TT_TR("P", "", "")</f>
        <v>P</v>
      </c>
      <c r="F167" s="138" t="s">
        <v>3026</v>
      </c>
      <c r="G167" s="277" t="str">
        <f>TT_TR("P", "", "")</f>
        <v>P</v>
      </c>
      <c r="H167" s="138" t="s">
        <v>2862</v>
      </c>
      <c r="I167" s="124"/>
    </row>
    <row r="168" spans="3:10" ht="15">
      <c r="C168" s="145" t="str">
        <f>TT_CASE("Panel VariBright on AC/DC (verify panel increments/decrements)", -1, 3, "", "")</f>
        <v xml:space="preserve"> Panel VariBright on AC/DC (verify panel increments/decrements)</v>
      </c>
      <c r="D168" s="276" t="str">
        <f t="shared" si="7"/>
        <v>P</v>
      </c>
      <c r="E168" s="277" t="str">
        <f>TT_TR("P", "", "")</f>
        <v>P</v>
      </c>
      <c r="F168" s="138" t="s">
        <v>3027</v>
      </c>
      <c r="G168" s="277" t="str">
        <f>TT_TR("P", "", "")</f>
        <v>P</v>
      </c>
      <c r="H168" s="138" t="s">
        <v>2863</v>
      </c>
      <c r="I168" s="124"/>
    </row>
    <row r="169" spans="3:10" ht="15">
      <c r="C169" s="145" t="str">
        <f>TT_CASE("External Display Switching (Lcd, Crt, Dvi, HDMI)", -1, 3, "", "")</f>
        <v xml:space="preserve"> External Display Switching (Lcd, Crt, Dvi, HDMI)</v>
      </c>
      <c r="D169" s="276" t="str">
        <f t="shared" si="7"/>
        <v>P</v>
      </c>
      <c r="E169" s="277" t="str">
        <f>TT_TR("P", "", "")</f>
        <v>P</v>
      </c>
      <c r="F169" s="138" t="s">
        <v>3062</v>
      </c>
      <c r="G169" s="277" t="str">
        <f>TT_TR("P", "", "")</f>
        <v>P</v>
      </c>
      <c r="H169" s="138" t="s">
        <v>2864</v>
      </c>
      <c r="I169" s="124"/>
    </row>
    <row r="170" spans="3:10" ht="15">
      <c r="C170" s="145" t="str">
        <f>TT_CASE("MS ZPODD Win8 only", -1, 3)</f>
        <v xml:space="preserve"> MS ZPODD Win8 only</v>
      </c>
      <c r="D170" s="278" t="str">
        <f t="shared" si="9"/>
        <v>NA</v>
      </c>
      <c r="E170" s="279" t="str">
        <f>TT_TR("NA", "", "Not support ODD")</f>
        <v>NA</v>
      </c>
      <c r="F170" s="138" t="s">
        <v>3028</v>
      </c>
      <c r="G170" s="279" t="str">
        <f>TT_TR("NA", "", "Not support ODD")</f>
        <v>NA</v>
      </c>
      <c r="H170" s="138" t="s">
        <v>2865</v>
      </c>
      <c r="I170" s="124"/>
    </row>
    <row r="171" spans="3:10" ht="15">
      <c r="C171" s="145" t="str">
        <f>TT_CASE("Network Connectivity in OS", -1, 3)</f>
        <v xml:space="preserve"> Network Connectivity in OS</v>
      </c>
      <c r="D171" s="276" t="str">
        <f t="shared" si="9"/>
        <v>P</v>
      </c>
      <c r="E171" s="277" t="str">
        <f>TT_TR("P", "", "")</f>
        <v>P</v>
      </c>
      <c r="F171" s="138" t="s">
        <v>3061</v>
      </c>
      <c r="G171" s="277" t="str">
        <f t="shared" ref="E171:G177" si="12">TT_TR("P", "", "")</f>
        <v>P</v>
      </c>
      <c r="H171" s="138" t="s">
        <v>2870</v>
      </c>
      <c r="I171" s="124"/>
    </row>
    <row r="172" spans="3:10" ht="15">
      <c r="C172" s="145" t="str">
        <f>TT_CASE("Docking Adv. Pr Cold Dock/Boot And Cold Undock", -1, 3, "", "")</f>
        <v xml:space="preserve"> Docking Adv. Pr Cold Dock/Boot And Cold Undock</v>
      </c>
      <c r="D172" s="276" t="str">
        <f t="shared" si="9"/>
        <v>P</v>
      </c>
      <c r="E172" s="277" t="str">
        <f>TT_TR("P", "", "")</f>
        <v>P</v>
      </c>
      <c r="F172" s="138" t="s">
        <v>3029</v>
      </c>
      <c r="G172" s="277" t="str">
        <f t="shared" si="12"/>
        <v>P</v>
      </c>
      <c r="H172" s="138" t="s">
        <v>2871</v>
      </c>
      <c r="I172" s="124"/>
    </row>
    <row r="173" spans="3:10" ht="15">
      <c r="C173" s="145" t="str">
        <f>TT_CASE("Docking Adv. Pr Hot Dock/Undock", -1, 3, "", "")</f>
        <v xml:space="preserve"> Docking Adv. Pr Hot Dock/Undock</v>
      </c>
      <c r="D173" s="276" t="str">
        <f t="shared" si="9"/>
        <v>P</v>
      </c>
      <c r="E173" s="277" t="str">
        <f>TT_TR("P", "", "")</f>
        <v>P</v>
      </c>
      <c r="F173" s="138" t="s">
        <v>3030</v>
      </c>
      <c r="G173" s="277" t="str">
        <f t="shared" si="12"/>
        <v>P</v>
      </c>
      <c r="H173" s="138" t="s">
        <v>2872</v>
      </c>
      <c r="I173" s="124"/>
    </row>
    <row r="174" spans="3:10" ht="15">
      <c r="C174" s="145" t="str">
        <f>TT_CASE("Docking Adv. Pr Warm Boot, , Standby/Resume, Hibernation/Resume", -1, 3, "", "")</f>
        <v xml:space="preserve"> Docking Adv. Pr Warm Boot, , Standby/Resume, Hibernation/Resume</v>
      </c>
      <c r="D174" s="276" t="str">
        <f t="shared" si="9"/>
        <v>P</v>
      </c>
      <c r="E174" s="277" t="str">
        <f>TT_TR("P", "", "")</f>
        <v>P</v>
      </c>
      <c r="F174" s="138" t="s">
        <v>3030</v>
      </c>
      <c r="G174" s="277" t="str">
        <f t="shared" si="12"/>
        <v>P</v>
      </c>
      <c r="H174" s="138" t="s">
        <v>2873</v>
      </c>
      <c r="I174" s="124"/>
      <c r="J174" s="122"/>
    </row>
    <row r="175" spans="3:10" ht="15">
      <c r="C175" s="145" t="str">
        <f>TT_CASE("Docking Adv. Pr Shutdown\Off", -1, 3)</f>
        <v xml:space="preserve"> Docking Adv. Pr Shutdown\Off</v>
      </c>
      <c r="D175" s="276" t="str">
        <f t="shared" si="9"/>
        <v>P</v>
      </c>
      <c r="E175" s="277" t="str">
        <f>TT_TR("P", "", "")</f>
        <v>P</v>
      </c>
      <c r="F175" s="138" t="s">
        <v>3031</v>
      </c>
      <c r="G175" s="277" t="str">
        <f t="shared" si="12"/>
        <v>P</v>
      </c>
      <c r="H175" s="138" t="s">
        <v>2874</v>
      </c>
      <c r="I175" s="124"/>
    </row>
    <row r="176" spans="3:10" s="139" customFormat="1" ht="15">
      <c r="C176" s="135" t="str">
        <f>TT_CASE("MPM mode Enable from Windows", -1, 3)</f>
        <v xml:space="preserve"> MPM mode Enable from Windows</v>
      </c>
      <c r="D176" s="276" t="str">
        <f t="shared" si="9"/>
        <v>P</v>
      </c>
      <c r="E176" s="277" t="str">
        <f>TT_TR("P", "", "")</f>
        <v>P</v>
      </c>
      <c r="F176" s="138" t="s">
        <v>3037</v>
      </c>
      <c r="G176" s="277" t="str">
        <f t="shared" si="12"/>
        <v>P</v>
      </c>
      <c r="H176" s="138" t="s">
        <v>2875</v>
      </c>
      <c r="I176" s="247"/>
    </row>
    <row r="177" spans="3:13" ht="15">
      <c r="C177" s="145" t="str">
        <f>TT_CASE("Devices USB (Mice, Keyboards) Hot Plug/Unplug", -1, 3, "", "")</f>
        <v xml:space="preserve"> Devices USB (Mice, Keyboards) Hot Plug/Unplug</v>
      </c>
      <c r="D177" s="276" t="str">
        <f t="shared" si="9"/>
        <v>P</v>
      </c>
      <c r="E177" s="277" t="str">
        <f>TT_TR("P", "", "")</f>
        <v>P</v>
      </c>
      <c r="F177" s="138" t="s">
        <v>3060</v>
      </c>
      <c r="G177" s="277" t="str">
        <f t="shared" si="12"/>
        <v>P</v>
      </c>
      <c r="H177" s="138" t="s">
        <v>2876</v>
      </c>
      <c r="I177" s="124"/>
    </row>
    <row r="178" spans="3:13" ht="15.75">
      <c r="C178" s="255" t="s">
        <v>2690</v>
      </c>
      <c r="D178" s="136"/>
      <c r="E178" s="137"/>
      <c r="F178" s="138"/>
      <c r="G178" s="137"/>
      <c r="H178" s="138"/>
      <c r="I178" s="124"/>
      <c r="J178" s="122"/>
      <c r="M178" s="261"/>
    </row>
    <row r="179" spans="3:13" s="260" customFormat="1" ht="15">
      <c r="C179" s="180" t="str">
        <f>TT_CASE("Core Test 7.1.1 - BIOS Update - Delay Mode Upgrade - FB Policy - Unlocked", -1, 3)</f>
        <v xml:space="preserve"> Core Test 7.1.1 - BIOS Update - Delay Mode Upgrade - FB Policy - Unlocked</v>
      </c>
      <c r="D179" s="276" t="str">
        <f t="shared" ref="D179:D182" si="13">TT_CYCLE(-1)</f>
        <v>P</v>
      </c>
      <c r="E179" s="277" t="str">
        <f>TT_TR("P", "", "")</f>
        <v>P</v>
      </c>
      <c r="F179" s="257" t="s">
        <v>3032</v>
      </c>
      <c r="G179" s="277" t="str">
        <f>TT_TR("P", "", "")</f>
        <v>P</v>
      </c>
      <c r="H179" s="257" t="s">
        <v>2866</v>
      </c>
      <c r="I179" s="258"/>
      <c r="J179" s="259"/>
    </row>
    <row r="180" spans="3:13" s="260" customFormat="1" ht="15">
      <c r="C180" s="180" t="str">
        <f>TT_CASE("Core Test 7.2.2 - BIOS Update - Delay Mode Downgrade - FB Policy - Locked", -1, 3)</f>
        <v xml:space="preserve"> Core Test 7.2.2 - BIOS Update - Delay Mode Downgrade - FB Policy - Locked</v>
      </c>
      <c r="D180" s="276" t="str">
        <f t="shared" si="13"/>
        <v>P</v>
      </c>
      <c r="E180" s="277" t="str">
        <f>TT_TR("P", "", "")</f>
        <v>P</v>
      </c>
      <c r="F180" s="257" t="s">
        <v>3033</v>
      </c>
      <c r="G180" s="277" t="str">
        <f>TT_TR("P", "", "")</f>
        <v>P</v>
      </c>
      <c r="H180" s="257" t="s">
        <v>2866</v>
      </c>
      <c r="I180" s="258"/>
      <c r="J180" s="259"/>
    </row>
    <row r="181" spans="3:13" s="260" customFormat="1" ht="15">
      <c r="C181" s="196" t="str">
        <f>TT_CASE("Core Test 7.3.1 - CP - BIOS Update - NonDelay Mode Upgrade - FB Policy - Unlocked", -1, 3)</f>
        <v xml:space="preserve"> Core Test 7.3.1 - CP - BIOS Update - NonDelay Mode Upgrade - FB Policy - Unlocked</v>
      </c>
      <c r="D181" s="276" t="str">
        <f t="shared" si="13"/>
        <v>P</v>
      </c>
      <c r="E181" s="277" t="str">
        <f>TT_TR("P", "", "")</f>
        <v>P</v>
      </c>
      <c r="F181" s="257" t="s">
        <v>3034</v>
      </c>
      <c r="G181" s="277" t="str">
        <f>TT_TR("P", "", "")</f>
        <v>P</v>
      </c>
      <c r="H181" s="257" t="s">
        <v>2867</v>
      </c>
      <c r="I181" s="258"/>
      <c r="J181" s="259"/>
    </row>
    <row r="182" spans="3:13" s="260" customFormat="1" ht="15">
      <c r="C182" s="196" t="str">
        <f>TT_CASE("Core Test 7.4.2 - CP - BIOS Update - NonDelay Mode Downgrade - FB Policy - Locked", -1, 3)</f>
        <v xml:space="preserve"> Core Test 7.4.2 - CP - BIOS Update - NonDelay Mode Downgrade - FB Policy - Locked</v>
      </c>
      <c r="D182" s="276" t="str">
        <f t="shared" si="13"/>
        <v>P</v>
      </c>
      <c r="E182" s="277" t="str">
        <f>TT_TR("P", "", "")</f>
        <v>P</v>
      </c>
      <c r="F182" s="257" t="s">
        <v>3035</v>
      </c>
      <c r="G182" s="277" t="str">
        <f>TT_TR("P", "", "")</f>
        <v>P</v>
      </c>
      <c r="H182" s="257" t="s">
        <v>2868</v>
      </c>
      <c r="I182" s="258"/>
      <c r="J182" s="259"/>
    </row>
    <row r="183" spans="3:13" s="261" customFormat="1" ht="30">
      <c r="C183" s="135" t="str">
        <f>TT_CASE("Core Test 12.1.4 - BB Recovery Time – BIOS Update Time Check HP Update BIOS FLASH Time Check with Unlock Auto mode ", -1, 3)</f>
        <v xml:space="preserve"> Core Test 12.1.4 - BB Recovery Time – BIOS Update Time Check HP Update BIOS FLASH Time Check with Unlock Auto mode</v>
      </c>
      <c r="D183" s="276" t="str">
        <f t="shared" si="7"/>
        <v>P</v>
      </c>
      <c r="E183" s="277" t="str">
        <f>TT_TR("P", "", "")</f>
        <v>P</v>
      </c>
      <c r="F183" s="144" t="s">
        <v>3036</v>
      </c>
      <c r="G183" s="277" t="str">
        <f>TT_TR("P", "", "")</f>
        <v>P</v>
      </c>
      <c r="H183" s="144" t="s">
        <v>2869</v>
      </c>
      <c r="I183" s="262"/>
      <c r="J183" s="263"/>
      <c r="K183" s="263"/>
    </row>
    <row r="184" spans="3:13">
      <c r="C184" s="148"/>
      <c r="D184" s="125"/>
      <c r="E184" s="125"/>
      <c r="G184" s="125"/>
    </row>
    <row r="185" spans="3:13">
      <c r="C185" s="149"/>
      <c r="D185" s="125"/>
      <c r="E185" s="125"/>
      <c r="G185" s="125"/>
    </row>
    <row r="186" spans="3:13">
      <c r="C186" s="150" t="s">
        <v>424</v>
      </c>
      <c r="D186" s="151"/>
      <c r="E186" s="152"/>
      <c r="F186" s="132"/>
      <c r="G186" s="152"/>
      <c r="H186" s="132"/>
      <c r="J186" s="332" t="s">
        <v>151</v>
      </c>
      <c r="K186" s="328"/>
    </row>
    <row r="187" spans="3:13">
      <c r="C187" s="153" t="s">
        <v>97</v>
      </c>
      <c r="D187" s="154">
        <f>INT(TT_COUNT(D$2:D186, -1, "*"))</f>
        <v>113</v>
      </c>
      <c r="E187" s="154">
        <f>INT(TT_COUNT(E$2:E186, -1, "*"))</f>
        <v>113</v>
      </c>
      <c r="F187" s="132"/>
      <c r="G187" s="154">
        <f>INT(TT_COUNT(G$2:G186, -1, "*"))</f>
        <v>113</v>
      </c>
      <c r="H187" s="132"/>
      <c r="J187" s="327">
        <f>SUM($D187:H187)-D187</f>
        <v>226</v>
      </c>
      <c r="K187" s="328"/>
    </row>
    <row r="188" spans="3:13" ht="12" customHeight="1">
      <c r="C188" s="153" t="s">
        <v>96</v>
      </c>
      <c r="D188" s="154">
        <f>INT(TT_COUNT(D$2:D186, -1))</f>
        <v>113</v>
      </c>
      <c r="E188" s="155">
        <f>INT(TT_COUNT(E$2:E186, -1))</f>
        <v>113</v>
      </c>
      <c r="F188" s="132"/>
      <c r="G188" s="155">
        <f>INT(TT_COUNT(G$2:G186, -1))</f>
        <v>113</v>
      </c>
      <c r="H188" s="132"/>
      <c r="J188" s="327">
        <f>SUM($D188:H188)-D188</f>
        <v>226</v>
      </c>
      <c r="K188" s="328"/>
    </row>
    <row r="189" spans="3:13">
      <c r="C189" s="153" t="s">
        <v>150</v>
      </c>
      <c r="D189" s="154">
        <f>D188-TT_COUNT(D$2:D186, -1, "P")-TT_COUNT(D$2:D186, -1, "F")-TT_COUNT(D$2:D186, -1, "I")-TT_COUNT(D$2:D186, -1, "B")-TT_COUNT(D$2:D186, -1, "NA")</f>
        <v>0</v>
      </c>
      <c r="E189" s="155">
        <f>E188-TT_COUNT(E$2:E186, -1, "P")-TT_COUNT(E$2:E186, -1, "F")-TT_COUNT(E$2:E186, -1, "I")-TT_COUNT(E$2:E186, -1, "B")-TT_COUNT(E$2:E186, -1, "NA")</f>
        <v>0</v>
      </c>
      <c r="F189" s="132"/>
      <c r="G189" s="155">
        <f>G188-TT_COUNT(G$2:G186, -1, "P")-TT_COUNT(G$2:G186, -1, "F")-TT_COUNT(G$2:G186, -1, "I")-TT_COUNT(G$2:G186, -1, "B")-TT_COUNT(G$2:G186, -1, "NA")</f>
        <v>0</v>
      </c>
      <c r="H189" s="132"/>
      <c r="J189" s="327">
        <f>SUM($D189:H189)-D189</f>
        <v>0</v>
      </c>
      <c r="K189" s="328"/>
    </row>
    <row r="190" spans="3:13">
      <c r="C190" s="156"/>
    </row>
    <row r="191" spans="3:13">
      <c r="C191" s="157" t="s">
        <v>89</v>
      </c>
      <c r="D191" s="158" t="str">
        <f>TT_COUNT(D$2:D186, -1, "P", D188)</f>
        <v>101 (89.4%)</v>
      </c>
      <c r="E191" s="155" t="str">
        <f>TT_COUNT(E$2:E186, -1, "P", E188)</f>
        <v>101 (89.4%)</v>
      </c>
      <c r="F191" s="146"/>
      <c r="G191" s="155" t="str">
        <f>TT_COUNT(G$2:G186, -1, "P", G188)</f>
        <v>59 (52.2%)</v>
      </c>
      <c r="H191" s="146"/>
      <c r="J191" s="159">
        <f t="array" ref="J191">SUM(INT(IF(LEN($D191:H191)&gt;1,LEFT($D191:H191,FIND("(",$D191:H191)-1),0)))-IF(LEN($D191)&gt;1,LEFT($D191,FIND("(",$D191)-1),0)</f>
        <v>160</v>
      </c>
      <c r="K191" s="160">
        <f>IF(J188&gt;0, J191/J188,0)</f>
        <v>0.70796460176991149</v>
      </c>
    </row>
    <row r="192" spans="3:13">
      <c r="C192" s="161" t="s">
        <v>90</v>
      </c>
      <c r="D192" s="162" t="str">
        <f>TT_COUNT(D$2:D186, -1, "F", D188)</f>
        <v>1 (0.9%)</v>
      </c>
      <c r="E192" s="162" t="str">
        <f>TT_COUNT(E$2:E186, -1, "F", E188)</f>
        <v>1 (0.9%)</v>
      </c>
      <c r="F192" s="146"/>
      <c r="G192" s="162" t="str">
        <f>TT_COUNT(G$2:G186, -1, "F", G188)</f>
        <v>2 (1.8%)</v>
      </c>
      <c r="H192" s="146"/>
      <c r="J192" s="163">
        <f t="array" ref="J192">SUM(INT(IF(LEN($D192:H192)&gt;1,LEFT($D192:H192,FIND("(",$D192:H192)-1),0)))-IF(LEN($D192)&gt;1,LEFT($D192,FIND("(",$D192)-1),0)</f>
        <v>3</v>
      </c>
      <c r="K192" s="164">
        <f>IF(J188&gt;0, J192/J188,0)</f>
        <v>1.3274336283185841E-2</v>
      </c>
    </row>
    <row r="193" spans="3:11">
      <c r="C193" s="165" t="s">
        <v>91</v>
      </c>
      <c r="D193" s="155" t="str">
        <f>TT_COUNT(D$2:D186, -1, "I", D188)</f>
        <v>0 (0.0%)</v>
      </c>
      <c r="E193" s="155" t="str">
        <f>TT_COUNT(E$2:E186, -1, "I", E188)</f>
        <v>0 (0.0%)</v>
      </c>
      <c r="F193" s="146"/>
      <c r="G193" s="155" t="str">
        <f>TT_COUNT(G$2:G186, -1, "I", G188)</f>
        <v>0 (0.0%)</v>
      </c>
      <c r="H193" s="146"/>
      <c r="J193" s="159">
        <f t="array" ref="J193">SUM(INT(IF(LEN($D193:H193)&gt;1,LEFT($D193:H193,FIND("(",$D193:H193)-1),0)))-IF(LEN($D193)&gt;1,LEFT($D193,FIND("(",$D193)-1),0)</f>
        <v>0</v>
      </c>
      <c r="K193" s="160">
        <f>IF(J188&gt;0, J193/J188,0)</f>
        <v>0</v>
      </c>
    </row>
    <row r="194" spans="3:11">
      <c r="C194" s="166" t="s">
        <v>92</v>
      </c>
      <c r="D194" s="155" t="str">
        <f>TT_COUNT(D$2:D186, -1, "B", D188)</f>
        <v>0 (0.0%)</v>
      </c>
      <c r="E194" s="155" t="str">
        <f>TT_COUNT(E$2:E186, -1, "B", E188)</f>
        <v>0 (0.0%)</v>
      </c>
      <c r="F194" s="146"/>
      <c r="G194" s="155" t="str">
        <f>TT_COUNT(G$2:G186, -1, "B", G188)</f>
        <v>0 (0.0%)</v>
      </c>
      <c r="H194" s="146"/>
      <c r="J194" s="159">
        <f t="array" ref="J194">SUM(INT(IF(LEN($D194:H194)&gt;1,LEFT($D194:H194,FIND("(",$D194:H194)-1),0)))-IF(LEN($D194)&gt;1,LEFT($D194,FIND("(",$D194)-1),0)</f>
        <v>0</v>
      </c>
      <c r="K194" s="160">
        <f>IF(J188&gt;0, J194/J188,0)</f>
        <v>0</v>
      </c>
    </row>
    <row r="195" spans="3:11">
      <c r="C195" s="167" t="s">
        <v>95</v>
      </c>
      <c r="D195" s="155" t="str">
        <f>TT_COUNT(D$2:D186, -1, "NA", D188)</f>
        <v>11 (9.7%)</v>
      </c>
      <c r="E195" s="155" t="str">
        <f>TT_COUNT(E$2:E186, -1, "NA", E188)</f>
        <v>11 (9.7%)</v>
      </c>
      <c r="F195" s="146"/>
      <c r="G195" s="155" t="str">
        <f>TT_COUNT(G$2:G186, -1, "NA", G188)</f>
        <v>52 (46.0%)</v>
      </c>
      <c r="H195" s="146"/>
      <c r="J195" s="159">
        <f t="array" ref="J195">SUM(INT(IF(LEN($D195:H195)&gt;1,LEFT($D195:H195,FIND("(",$D195:H195)-1),0)))-IF(LEN($D195)&gt;1,LEFT($D195,FIND("(",$D195)-1),0)</f>
        <v>63</v>
      </c>
      <c r="K195" s="160">
        <f>IF(J188&gt;0, J195/J188,0)</f>
        <v>0.27876106194690264</v>
      </c>
    </row>
    <row r="196" spans="3:11">
      <c r="C196" s="156"/>
      <c r="D196" s="168"/>
      <c r="E196" s="168"/>
      <c r="G196" s="168"/>
    </row>
    <row r="197" spans="3:11">
      <c r="C197" s="169" t="s">
        <v>93</v>
      </c>
      <c r="D197" s="155" t="str">
        <f>TT_COUNT(D$2:D186, -1, "NP", D187)</f>
        <v>0 (0.0%)</v>
      </c>
      <c r="E197" s="155" t="str">
        <f>TT_COUNT(E$2:E186, -1, "NP", E187)</f>
        <v>0 (0.0%)</v>
      </c>
      <c r="F197" s="132"/>
      <c r="G197" s="155" t="str">
        <f>TT_COUNT(G$2:G186, -1, "NP", G187)</f>
        <v>0 (0.0%)</v>
      </c>
      <c r="H197" s="132"/>
      <c r="J197" s="159">
        <f t="array" ref="J197">SUM(INT(IF(LEN($D197:H197)&gt;1,LEFT($D197:H197,FIND("(",$D197:H197)-1),0)))-IF(LEN($D197)&gt;1,LEFT($D197,FIND("(",$D197)-1),0)</f>
        <v>0</v>
      </c>
      <c r="K197" s="160">
        <f>IF(J187&gt;0, J197/J187,0)</f>
        <v>0</v>
      </c>
    </row>
    <row r="198" spans="3:11">
      <c r="C198" s="170" t="s">
        <v>94</v>
      </c>
      <c r="D198" s="155" t="str">
        <f>TT_COUNT(D$2:D186, -1, "NS", D187)</f>
        <v>0 (0.0%)</v>
      </c>
      <c r="E198" s="155" t="str">
        <f>TT_COUNT(E$2:E186, -1, "NS", E187)</f>
        <v>0 (0.0%)</v>
      </c>
      <c r="F198" s="132"/>
      <c r="G198" s="155" t="str">
        <f>TT_COUNT(G$2:G186, -1, "NS", G187)</f>
        <v>0 (0.0%)</v>
      </c>
      <c r="H198" s="132"/>
      <c r="J198" s="159">
        <f t="array" ref="J198">SUM(INT(IF(LEN($D198:H198)&gt;1,LEFT($D198:H198,FIND("(",$D198:H198)-1),0)))-IF(LEN($D198)&gt;1,LEFT($D198,FIND("(",$D198)-1),0)</f>
        <v>0</v>
      </c>
      <c r="K198" s="160">
        <f>IF(J187&gt;0, J198/J187,0)</f>
        <v>0</v>
      </c>
    </row>
  </sheetData>
  <sheetProtection password="CF6D" sheet="1" objects="1" scenarios="1"/>
  <dataConsolidate/>
  <mergeCells count="68">
    <mergeCell ref="E64:F64"/>
    <mergeCell ref="E93:F93"/>
    <mergeCell ref="E29:F29"/>
    <mergeCell ref="E30:F30"/>
    <mergeCell ref="E31:F31"/>
    <mergeCell ref="E32:F32"/>
    <mergeCell ref="E33:F33"/>
    <mergeCell ref="E24:F24"/>
    <mergeCell ref="E25:F25"/>
    <mergeCell ref="E26:F26"/>
    <mergeCell ref="E27:F27"/>
    <mergeCell ref="E28:F28"/>
    <mergeCell ref="E19:F19"/>
    <mergeCell ref="E20:F20"/>
    <mergeCell ref="E21:F21"/>
    <mergeCell ref="E22:F22"/>
    <mergeCell ref="E23:F23"/>
    <mergeCell ref="E14:F14"/>
    <mergeCell ref="E15:F15"/>
    <mergeCell ref="E16:F16"/>
    <mergeCell ref="E17:F17"/>
    <mergeCell ref="E18:F18"/>
    <mergeCell ref="E9:F9"/>
    <mergeCell ref="E10:F10"/>
    <mergeCell ref="E11:F11"/>
    <mergeCell ref="E12:F12"/>
    <mergeCell ref="E13:F13"/>
    <mergeCell ref="E3:F3"/>
    <mergeCell ref="E4:F4"/>
    <mergeCell ref="E5:F5"/>
    <mergeCell ref="E7:F7"/>
    <mergeCell ref="E8:F8"/>
    <mergeCell ref="G15:H15"/>
    <mergeCell ref="G3:H3"/>
    <mergeCell ref="G4:H4"/>
    <mergeCell ref="G5:H5"/>
    <mergeCell ref="G7:H7"/>
    <mergeCell ref="G8:H8"/>
    <mergeCell ref="G9:H9"/>
    <mergeCell ref="G10:H10"/>
    <mergeCell ref="G11:H11"/>
    <mergeCell ref="G12:H12"/>
    <mergeCell ref="G13:H13"/>
    <mergeCell ref="G14:H14"/>
    <mergeCell ref="G27:H27"/>
    <mergeCell ref="G16:H16"/>
    <mergeCell ref="G17:H17"/>
    <mergeCell ref="G18:H18"/>
    <mergeCell ref="G19:H19"/>
    <mergeCell ref="G20:H20"/>
    <mergeCell ref="G21:H21"/>
    <mergeCell ref="G22:H22"/>
    <mergeCell ref="G23:H23"/>
    <mergeCell ref="G24:H24"/>
    <mergeCell ref="G25:H25"/>
    <mergeCell ref="G26:H26"/>
    <mergeCell ref="J189:K189"/>
    <mergeCell ref="G28:H28"/>
    <mergeCell ref="G29:H29"/>
    <mergeCell ref="G30:H30"/>
    <mergeCell ref="G31:H31"/>
    <mergeCell ref="G32:H32"/>
    <mergeCell ref="G33:H33"/>
    <mergeCell ref="G64:H64"/>
    <mergeCell ref="G93:H93"/>
    <mergeCell ref="J186:K186"/>
    <mergeCell ref="J187:K187"/>
    <mergeCell ref="J188:K188"/>
  </mergeCells>
  <phoneticPr fontId="37" type="noConversion"/>
  <dataValidations count="32">
    <dataValidation type="list" allowBlank="1" showInputMessage="1" showErrorMessage="1" sqref="H93 H64 F93 F64">
      <formula1>CFG_32Bit_Os</formula1>
    </dataValidation>
    <dataValidation type="list" allowBlank="1" showInputMessage="1" showErrorMessage="1" errorTitle="Selection Required" error="Please select one of the entries from the list." sqref="G93 G64 E93 E64">
      <formula1>CFG_Environment</formula1>
    </dataValidation>
    <dataValidation type="list" allowBlank="1" showInputMessage="1" showErrorMessage="1" errorTitle="Selection Required" error="Please select one of the entries from the list." sqref="E12:H12">
      <formula1>CFG_Graphics</formula1>
    </dataValidation>
    <dataValidation type="list" allowBlank="1" showInputMessage="1" showErrorMessage="1" errorTitle="Selection Required" error="Please select one of the entries from the list." sqref="E11:H11">
      <formula1>CFG_Video_Architecture</formula1>
    </dataValidation>
    <dataValidation type="list" allowBlank="1" showInputMessage="1" errorTitle="Selection Required" error="Please select one of the entries from the list." prompt="Enter additional items as needed" sqref="E27:H27">
      <formula1>CFG_Unit_Upgrade_Bay_Device_</formula1>
    </dataValidation>
    <dataValidation type="list" allowBlank="1" showInputMessage="1" errorTitle="Selection Required" error="Please select one of the entries from the list." prompt="Enter additional items as needed" sqref="E25:H25">
      <formula1>CFG_Camera_</formula1>
    </dataValidation>
    <dataValidation type="list" allowBlank="1" showInputMessage="1" errorTitle="Selection Required" error="Please select one of the entries from the list." sqref="G7 E7">
      <formula1>CFG_UserLabel_</formula1>
    </dataValidation>
    <dataValidation type="list" allowBlank="1" showInputMessage="1" errorTitle="Selection Required" error="Please select one of the entries from the list." prompt="Enter additional items as needed" sqref="G8 E8">
      <formula1>CFG_Unit_Id_</formula1>
    </dataValidation>
    <dataValidation type="list" allowBlank="1" showInputMessage="1" showErrorMessage="1" errorTitle="Selection Required" error="Please select one of the entries from the list." sqref="G9 E9">
      <formula1>CFG_System_Board</formula1>
    </dataValidation>
    <dataValidation type="list" allowBlank="1" showInputMessage="1" errorTitle="Selection Required" error="Please select one of the entries from the list." prompt="Enter additional items as needed" sqref="G10 E10">
      <formula1>CFG_Processor_</formula1>
    </dataValidation>
    <dataValidation type="list" allowBlank="1" showInputMessage="1" showErrorMessage="1" errorTitle="Selection Required" error="Please select one of the entries from the list." sqref="G13 E13">
      <formula1>CFG_Vram</formula1>
    </dataValidation>
    <dataValidation type="list" allowBlank="1" showInputMessage="1" errorTitle="Selection Required" error="Please select one of the entries from the list." prompt="Enter additional items as needed" sqref="G14 E14">
      <formula1>CFG_Display_Panel_</formula1>
    </dataValidation>
    <dataValidation type="list" allowBlank="1" showInputMessage="1" errorTitle="Selection Required" error="Please select one of the entries from the list." prompt="Enter additional items as needed" sqref="G15 E15">
      <formula1>CFG_Memory_Slot_1_</formula1>
    </dataValidation>
    <dataValidation type="list" allowBlank="1" showInputMessage="1" errorTitle="Selection Required" error="Please select one of the entries from the list." prompt="Enter additional items as needed" sqref="G16 E16">
      <formula1>CFG_Memory_Slot_2_</formula1>
    </dataValidation>
    <dataValidation type="list" allowBlank="1" showInputMessage="1" errorTitle="Selection Required" error="Please select one of the entries from the list." prompt="Enter additional items as needed" sqref="G17 E17">
      <formula1>CFG_Memory_Slot_3_</formula1>
    </dataValidation>
    <dataValidation type="list" allowBlank="1" showInputMessage="1" errorTitle="Selection Required" error="Please select one of the entries from the list." prompt="Enter additional items as needed" sqref="G18 E18">
      <formula1>CFG_Memory_Slot_4_</formula1>
    </dataValidation>
    <dataValidation type="list" allowBlank="1" showInputMessage="1" errorTitle="Selection Required" error="Please select one of the entries from the list." prompt="Enter additional items as needed" sqref="G19 E19">
      <formula1>CFG_Hard_Drive_</formula1>
    </dataValidation>
    <dataValidation type="list" allowBlank="1" showInputMessage="1" showErrorMessage="1" errorTitle="Selection Required" error="Please select one of the entries from the list." sqref="G20 E20">
      <formula1>CFG_Bluetooth_Module</formula1>
    </dataValidation>
    <dataValidation type="list" allowBlank="1" showInputMessage="1" errorTitle="Selection Required" error="Please select one of the entries from the list." prompt="Enter additional items as needed" sqref="G21 E21">
      <formula1>CFG_Wireless_Lan_</formula1>
    </dataValidation>
    <dataValidation type="list" allowBlank="1" showInputMessage="1" errorTitle="Selection Required" error="Please select one of the entries from the list." prompt="Enter additional items as needed" sqref="G22 E22">
      <formula1>CFG_Wireless_Wan_</formula1>
    </dataValidation>
    <dataValidation type="list" allowBlank="1" showInputMessage="1" showErrorMessage="1" errorTitle="Selection Required" error="Please select one of the entries from the list." sqref="G23 E23">
      <formula1>CFG_Wired_Nic</formula1>
    </dataValidation>
    <dataValidation type="list" allowBlank="1" showInputMessage="1" showErrorMessage="1" errorTitle="Selection Required" error="Please select one of the entries from the list." sqref="G24 E24">
      <formula1>CFG_Modem</formula1>
    </dataValidation>
    <dataValidation type="list" allowBlank="1" showInputMessage="1" showErrorMessage="1" errorTitle="Selection Required" error="Please select one of the entries from the list." sqref="G26 E26">
      <formula1>CFG_Fingerprint_Reader</formula1>
    </dataValidation>
    <dataValidation type="list" allowBlank="1" showInputMessage="1" errorTitle="Selection Required" error="Please select one of the entries from the list." prompt="Enter additional items as needed" sqref="G28 E28">
      <formula1>CFG_Dock_Type_</formula1>
    </dataValidation>
    <dataValidation type="list" allowBlank="1" showInputMessage="1" errorTitle="Selection Required" error="Please select one of the entries from the list." prompt="Enter additional items as needed" sqref="G29 E29">
      <formula1>CFG_Dock_Bay_Device_</formula1>
    </dataValidation>
    <dataValidation type="list" allowBlank="1" showInputMessage="1" showErrorMessage="1" errorTitle="Selection Required" error="Please select one of the entries from the list." sqref="G30 E30">
      <formula1>CFG_Touchpad_Pointstick_Combo</formula1>
    </dataValidation>
    <dataValidation type="list" allowBlank="1" showInputMessage="1" showErrorMessage="1" errorTitle="Selection Required" error="Please select one of the entries from the list." sqref="G31 E31">
      <formula1>CFG_Keyboard</formula1>
    </dataValidation>
    <dataValidation type="list" allowBlank="1" showInputMessage="1" errorTitle="Selection Required" error="Please select one of the entries from the list." prompt="Enter additional items as needed" sqref="G32 E32">
      <formula1>CFG_Unit_Battery_</formula1>
    </dataValidation>
    <dataValidation type="list" allowBlank="1" showInputMessage="1" errorTitle="Selection Required" error="Please select one of the entries from the list." prompt="Enter additional items as needed" sqref="G33 E33">
      <formula1>CFG_Travel_Battery_</formula1>
    </dataValidation>
    <dataValidation type="list" allowBlank="1" showInputMessage="1" errorTitle="Selection Required" error="Please select one of the entries from the list." prompt="Enter additional items as needed" sqref="G3 E3">
      <formula1>CFG_System_Bios_</formula1>
    </dataValidation>
    <dataValidation type="list" allowBlank="1" showInputMessage="1" errorTitle="Selection Required" error="Please select one of the entries from the list." prompt="Enter additional items as needed" sqref="G4 E4">
      <formula1>CFG_Kbc_</formula1>
    </dataValidation>
    <dataValidation type="list" allowBlank="1" showInputMessage="1" errorTitle="Selection Required" error="Please select one of the entries from the list." prompt="Enter additional items as needed" sqref="G5 E5">
      <formula1>CFG_Me_Version_</formula1>
    </dataValidation>
  </dataValidations>
  <hyperlinks>
    <hyperlink ref="C44" r:id="rId1" location="DOS_TOOL_BOOT_LOGO" display="BIOS DTI"/>
    <hyperlink ref="C50" r:id="rId2" location="DOS_TOOL_BOOT_CD_INT_BOOT_NON" display="BIOS DTI"/>
    <hyperlink ref="C51" r:id="rId3" location="DOS_BOOT_USB30" display="BIOS DTI"/>
    <hyperlink ref="C53" r:id="rId4" location="DOS_TOOL_BOOT_REMOTE_PXE" display="BIOS DTI"/>
    <hyperlink ref="C46" r:id="rId5" location="DOS_TOOL_BOOT_HD_USB_CRAD" display="BIOS DTI"/>
    <hyperlink ref="C120" r:id="rId6" location="DOS_TOOL_EXT_MON_ON_CLOSE_LID" display="BIOS DTI"/>
    <hyperlink ref="C118" r:id="rId7" location="DOS_SEC_DLOCK_MAS_USER_PASSW" display="BIOS DTI"/>
    <hyperlink ref="C119" r:id="rId8" location="DOS_SEC_SETUP_AUTO_DRVLOCK_EN_DIS" display="BIOS DTI"/>
    <hyperlink ref="C45" r:id="rId9" location="DOS_TOOL_OOBE_WORST" display="BIOS DTI"/>
    <hyperlink ref="C86" r:id="rId10" location="W2K_XP_SPEED_AC_DC" display="BIOS DTI"/>
    <hyperlink ref="C153" r:id="rId11" location="W2K_XP_USB_KBM_HP_UP" display="BIOS DTI"/>
    <hyperlink ref="C148" r:id="rId12" location="DOCKING_COLD_DOCK_UNDOCK" display="BIOS DTI"/>
    <hyperlink ref="C149" r:id="rId13" location="DOCKING_HOT_DOCK_UNDOCK" display="BIOS DTI"/>
    <hyperlink ref="C150" r:id="rId14" location="DOCKING_WARMBOOT" display="BIOS DTI"/>
    <hyperlink ref="C151" r:id="rId15" location="DOCKING_SHUTDOWN" display="BIOS DTI"/>
    <hyperlink ref="C81" r:id="rId16" location="ALL_OS_BOOT_WARM_START_REST_STAND" display="BIOS DTI"/>
    <hyperlink ref="C82" r:id="rId17" location="ALL_OS_BOOT_WARM_START_REST_HIB" display="BIOS DTI"/>
    <hyperlink ref="C83" r:id="rId18" location="ALL_OS_BOOT_COLD_START_SHUT_AC" display="BIOS DTI"/>
    <hyperlink ref="C84" r:id="rId19" location="ALL_OS_BOOT_COLD_START_SHUT_STAND" display="BIOS DTI"/>
    <hyperlink ref="C85" r:id="rId20" location="ALL_OS_BOOT_COLD_START_SHUT_HIB" display="BIOS DTI"/>
    <hyperlink ref="C145" r:id="rId21" location="DOS_TOOL_EXT_MON_ROT" display="BIOS DTI"/>
    <hyperlink ref="C80" r:id="rId22" location="ALL_OS_BOOT_WARM_START_REST_AC" display="BIOS DTI"/>
    <hyperlink ref="C137" r:id="rId23" location="ALL_OS_REL_VERIF" display="BIOS DTI"/>
    <hyperlink ref="C52" r:id="rId24" location="DOS_TOOL_BOOT_CD_USB_CRAD" display="BIOS DTI"/>
    <hyperlink ref="C144" r:id="rId25" location="ALL_OS_AUTO_VARIBRIGHT_ACDC" display="BIOS DTI"/>
    <hyperlink ref="C48" r:id="rId26" location="BOOT_ESATA_PORT" display="BIOS DTI"/>
    <hyperlink ref="C49" r:id="rId27" location="BOOT_2ND_NOTEBOOK_HD" display="BIOS Test Plan.doc - BOOT_2ND_NOTEBOOK_HD"/>
    <hyperlink ref="C76" r:id="rId28" location="HPQFL_DOWNGRADE" display="BIOS Test Plan.doc - HPQFL_DOWNGRADE"/>
    <hyperlink ref="C115" r:id="rId29" location="W2K_XP_SPEED_AC_DC" display="BIOS DTI"/>
    <hyperlink ref="C177" r:id="rId30" location="W2K_XP_USB_KBM_HP_UP" display="BIOS DTI"/>
    <hyperlink ref="C172" r:id="rId31" location="DOCKING_COLD_DOCK_UNDOCK" display="BIOS DTI"/>
    <hyperlink ref="C173" r:id="rId32" location="DOCKING_HOT_DOCK_UNDOCK" display="BIOS DTI"/>
    <hyperlink ref="C174" r:id="rId33" location="DOCKING_WARMBOOT" display="BIOS DTI"/>
    <hyperlink ref="C175" r:id="rId34" location="DOCKING_SHUTDOWN" display="BIOS DTI"/>
    <hyperlink ref="C110" r:id="rId35" location="ALL_OS_BOOT_WARM_START_REST_STAND" display="BIOS DTI"/>
    <hyperlink ref="C111" r:id="rId36" location="ALL_OS_BOOT_WARM_START_REST_HIB" display="BIOS DTI"/>
    <hyperlink ref="C112" r:id="rId37" location="ALL_OS_BOOT_COLD_START_SHUT_AC" display="BIOS DTI"/>
    <hyperlink ref="C113" r:id="rId38" location="ALL_OS_BOOT_COLD_START_SHUT_STAND" display="BIOS DTI"/>
    <hyperlink ref="C114" r:id="rId39" location="ALL_OS_BOOT_COLD_START_SHUT_HIB" display="BIOS DTI"/>
    <hyperlink ref="C169" r:id="rId40" location="DOS_TOOL_EXT_MON_ROT" display="BIOS DTI"/>
    <hyperlink ref="C109" r:id="rId41" location="ALL_OS_BOOT_WARM_START_REST_AC" display="BIOS DTI"/>
    <hyperlink ref="C161" r:id="rId42" location="ALL_OS_REL_VERIF" display="BIOS DTI"/>
    <hyperlink ref="C167" r:id="rId43" location="ACC_INTEL_SELFTEST_TOOL" display="BIOS DTI"/>
    <hyperlink ref="C105" r:id="rId44" location="ALL_OS_CPQFLASH_CUST_REL" display="BIOS DTI"/>
    <hyperlink ref="C168" r:id="rId45" location="ALL_OS_AUTO_VARIBRIGHT_ACDC" display="BIOS DTI"/>
    <hyperlink ref="C106" r:id="rId46" location="SUP_OS_FLASH_BIOS_CHK_SETTINGS" display="BIOS DTI"/>
    <hyperlink ref="C103" r:id="rId47" location="HPQFL_DOWNGRADE" display="BIOS Test Plan.doc - HPQFL_DOWNGRADE"/>
    <hyperlink ref="C78" r:id="rId48" location="WMI_BIOS_BACKUP" display="BIOS DTI"/>
    <hyperlink ref="C143" r:id="rId49" location="ACC_INTEL_SELFTEST_TOOL" display="BIOS DTI"/>
    <hyperlink ref="C152" r:id="rId50" location="MPM_BY_SERVER" display="BIOS DTI"/>
    <hyperlink ref="C72" r:id="rId51" location="HPQFL_UPGRADE_NONDELAYMODE" display="BIOS DTI"/>
    <hyperlink ref="C73" r:id="rId52" location="HPQFL_REFLASH_NONDELAYMODE" display="BIOS DTI"/>
    <hyperlink ref="C95" r:id="rId53" location="HPQFL_UPGRADE_DELAYMODE" display="BIOS DTI"/>
    <hyperlink ref="C96" r:id="rId54" location="HPQFL_REFLASH_DELAYMODE" display="BIOS DTI"/>
    <hyperlink ref="C99" r:id="rId55" location="HPQFL_UPGRADE_NONDELAYMODE" display="BIOS DTI"/>
    <hyperlink ref="C100" r:id="rId56" location="HPQFL_REFLASH_NONDELAYMODE" display="BIOS Test Plan.doc - HPQFL_REFLASH_NONDELAYMODE"/>
    <hyperlink ref="C101" r:id="rId57" location="FLASH_FPT_TOOLS" display="BIOS DTI"/>
    <hyperlink ref="C74" r:id="rId58" location="FLASH_FPT_TOOLS" display="BIOS DTI"/>
    <hyperlink ref="C121" r:id="rId59" location="UEFI_NATIVE_VIDEO_SUPPORT" display="BIOS DTI"/>
    <hyperlink ref="C107" r:id="rId60" location="WMI_BIOS_BACKUP_GPT" display="BIOS DTI"/>
    <hyperlink ref="C71" r:id="rId61" location="HPQFL_REFLASH_DELAYMODE_GPT" display="BIOS DTI"/>
    <hyperlink ref="C69" r:id="rId62" location="HPQFL_REFLASH_DELAYMODE" display="BIOS DTI"/>
    <hyperlink ref="C70" r:id="rId63" location="HPQFL_UPGRADE_DELAYMODE_GPT" display="BIOS DTI"/>
    <hyperlink ref="C98" r:id="rId64" location="HPQFL_REFLASH_DELAYMODE_GPT" display="BIOS DTI"/>
    <hyperlink ref="C97" r:id="rId65" location="HPQFL_UPGRADE_DELAYMODE_GPT" display="BIOS DTI"/>
    <hyperlink ref="C77" r:id="rId66" location="HPQFL_DOWNGRADE_GPT" display="BIOS DTI"/>
    <hyperlink ref="C104" r:id="rId67" location="HPQFL_DOWNGRADE_GPT" display="BIOS DTI"/>
    <hyperlink ref="C79" r:id="rId68" location="BIOS_BACKUP_F10" display="BIOS Test Plan.doc - BIOS_BACKUP_F10"/>
    <hyperlink ref="C108" r:id="rId69" location="BIOS_BACKUP_F10_GPT" display="BIOS DTI"/>
    <hyperlink ref="C75" r:id="rId70" location="FPT_efi" display=" Upgrade - Intel FPT.efi"/>
    <hyperlink ref="C57" r:id="rId71" location="DOS_TOOL_BIOSADM_PWD" display="BIOS Test Plan.doc - DOS_TOOL_BIOSADM_PWD"/>
    <hyperlink ref="C47" r:id="rId72" location="DOS_TOOL_BOOT_FLOP_USB" display="BIOS DTI"/>
    <hyperlink ref="C170" r:id="rId73" location="ZPODD_MS" display="BIOS Test Plan.doc - ZPODD_MS"/>
    <hyperlink ref="C102" r:id="rId74" location="FPT_efi" display=" Upgrade - Intel FPT.efi"/>
    <hyperlink ref="C176" r:id="rId75" location="MPM_BY_SERVER" display="BIOS DTI"/>
    <hyperlink ref="C146" r:id="rId76" location="ZPODD_MS" display="BIOS Test Plan.doc - ZPODD_MS"/>
    <hyperlink ref="C65" r:id="rId77" location="ACC_BIOS_VER_Quick_Check" display="F:\BIOS\2013 BIOS Test Plans\Functional\BIOS Test Plan.doc - ACC_BIOS_VER_Quick_Check"/>
    <hyperlink ref="C94" r:id="rId78" location="ACC_BIOS_VER_Quick_Check" display="F:\BIOS\2013 BIOS Test Plans\Functional\BIOS Test Plan.doc - ACC_BIOS_VER_Quick_Check"/>
    <hyperlink ref="C55" r:id="rId79" location="UEFI_NETWORK_BOOT" display="BIOS TEST PLAN.doc - UEFI_NETWORK_BOOT"/>
    <hyperlink ref="C54" r:id="rId80" location="UEFI_NETWORK_BOOT_IPV6" display="BIOS DTI"/>
    <hyperlink ref="C147" r:id="rId81" location="ACC_NETWORK_CONNECTIVITY_OS" display="BIOS Test Plan.doc - ACC_NETWORK_CONNECTIVITY_OS"/>
    <hyperlink ref="C171" r:id="rId82" location="ACC_NETWORK_CONNECTIVITY_OS" display="BIOS Test Plan.doc - ACC_NETWORK_CONNECTIVITY_OS"/>
    <hyperlink ref="C68" r:id="rId83" location="HPQFL_UPGRADE" display="BIOS DTI"/>
    <hyperlink ref="C66" r:id="rId84" location="ACC_HOW_TO_FLASH_DOC" display="BIOS Test Plan.doc - ACC_HOW_TO_FLASH_DOC"/>
    <hyperlink ref="C131" r:id="rId85" location="DOS_TOOL_BOOT_RECOVERY_WIN_B" display="BIOS DTI"/>
    <hyperlink ref="C134" r:id="rId86" location="OLE_LINK204_x0009_1,506337,506366,3,,AMT – Check AMT / ME version_x000d_" display="AMT – Check AMT / ME version"/>
    <hyperlink ref="C132" r:id="rId87" location="ACC_BIOS_AUTO_RECOVERY_GPT" display="BIOS DTI"/>
    <hyperlink ref="C133" r:id="rId88" location="BIOS_DOWNGRADE_F2X_TO_NON_F2X_SMC" display="BIOS DTI"/>
    <hyperlink ref="C155" r:id="rId89" location="FB_ACC_BIOS_UPWNGRAD_DELAY_UNLOCK" display="BIOS DTI"/>
    <hyperlink ref="C183" r:id="rId90" location="FB_ACC_BIOS_UPDATE_TIME_UNLOCK_AUTO" display="BIOS Test Plan.doc - FB_ACC_BIOS_UPDATE_TIME_UNLOCK_AUTO"/>
    <hyperlink ref="C56" r:id="rId91" location="OLE_LINK167_x0009_1,493797,493832,3,,ACCEPTANCE - F1 System Informati" display="ACCEPTANCE - F1 System Information"/>
    <hyperlink ref="C138" r:id="rId92" location="PORTS_DEVICES_FUNCTIONAL_BT" display="BIOS Test Plan.doc - PORTS_DEVICES_FUNCTIONAL_BT"/>
    <hyperlink ref="C139" r:id="rId93" location="PORTS_DEVICES_FUNCTIONAL_WWAN" display="BIOS Test Plan.doc - PORTS_DEVICES_FUNCTIONAL_WWAN"/>
    <hyperlink ref="C140" r:id="rId94" location="PORTS_DEVICES_FUNCTIONAL_CAMERA" display="BIOS Test Plan.doc - PORTS_DEVICES_FUNCTIONAL_CAMERA"/>
    <hyperlink ref="C141" r:id="rId95" location="PORTS_DEVICES_FUNCTIONAL_FINGER_PRINT" display="BIOS Test Plan.doc - PORTS_DEVICES_FUNCTIONAL_FINGER_PRINT"/>
    <hyperlink ref="C142" r:id="rId96" location="PORTS_DEVICES_FUNCTIONAL_SMART_CARD" display="BIOS Test Plan.doc - PORTS_DEVICES_FUNCTIONAL_SMART_CARD"/>
    <hyperlink ref="C162" r:id="rId97" location="PORTS_DEVICES_FUNCTIONAL_BT" display="BIOS Test Plan.doc - PORTS_DEVICES_FUNCTIONAL_BT"/>
    <hyperlink ref="C163" r:id="rId98" location="PORTS_DEVICES_FUNCTIONAL_WWAN" display="BIOS Test Plan.doc - PORTS_DEVICES_FUNCTIONAL_WWAN"/>
    <hyperlink ref="C164" r:id="rId99" location="PORTS_DEVICES_FUNCTIONAL_CAMERA" display="BIOS Test Plan.doc - PORTS_DEVICES_FUNCTIONAL_CAMERA"/>
    <hyperlink ref="C165" r:id="rId100" location="PORTS_DEVICES_FUNCTIONAL_FINGER_PRINT" display="BIOS Test Plan.doc - PORTS_DEVICES_FUNCTIONAL_FINGER_PRINT"/>
    <hyperlink ref="C166" r:id="rId101" location="PORTS_DEVICES_FUNCTIONAL_SMART_CARD" display="BIOS Test Plan.doc - PORTS_DEVICES_FUNCTIONAL_SMART_CARD"/>
    <hyperlink ref="C156" r:id="rId102" location="FB_ACC_BIOS_DOWNGRADE_DELAY_LOCKED" display="BIOS DTI"/>
    <hyperlink ref="C179" r:id="rId103" location="FB_ACC_BIOS_UPWNGRAD_DELAY_UNLOCK" display="BIOS DTI"/>
    <hyperlink ref="C180" r:id="rId104" location="FB_ACC_BIOS_DOWNGRADE_DELAY_LOCKED_x0009_1,1149988,1150075,3,,Core Test ACCEPTANCE – BIOS Upda" display="Core Test ACCEPTANCE – BIOS Update - Delay Mode Downgrade - FB Policy – Locked (7.2.2)"/>
    <hyperlink ref="C123" r:id="rId105" location="STRATUS_BIOS_UPDATE_HOW_TO_FLASH" display="BIOS Test Plan.doc - STRATUS_BIOS_UPDATE_HOW_TO_FLASH"/>
    <hyperlink ref="C157" r:id="rId106" location="FB__ACC_BIOS_UPGRADE_NON_DELAY_UNLOCK" display="BIOS DTI"/>
    <hyperlink ref="C135" r:id="rId107" location="RELEASE_PCR_00" display="BIOS DTI"/>
    <hyperlink ref="C124" r:id="rId108" location="STRATUS_BIOS_UPDATE_HOW_TO_FLASH" display="BIOS Test Plan.doc - STRATUS_BIOS_UPDATE_HOW_TO_FLASH"/>
    <hyperlink ref="C67" r:id="rId109" location="Release_FILE_VALIDATION_BIOS_PACK" display="BIOS DTI"/>
    <hyperlink ref="C159" r:id="rId110" location="FB_ACC_BIOS_UPDATE_TIME_UNLOCK_AUTO" display="BIOS DTI"/>
    <hyperlink ref="C181" r:id="rId111" location="FB__ACC_BIOS_UPGRADE_NON_DELAY_UNLOCK_x0009_1,1162118,1162208,3,,Core Test ACCEPTANCE – BIOS Upda" display="Core Test ACCEPTANCE – BIOS Update - NonDelay Mode Upgrade - FB Policy – Unlocked (7.3.1)"/>
    <hyperlink ref="C182" r:id="rId112" location="OLE_LINK84_x0009_1,1172355,1172447,3,,Core Test ACCEPTANCE – BIOS Upda" display="Core Test ACCEPTANCE – BIOS Update - NonDelay Mode Downgrade - FB Policy – Unlocked (7.4.2)"/>
    <hyperlink ref="C158" r:id="rId113" location="OLE_LINK84_x0009_1,1162315,1162405,3,,Core Test ACCEPTANCE – BIOS Upda" display="Core Test ACCEPTANCE – BIOS Update - NonDelay Mode Downgrade - FB Policy – Locked (7.4.2)"/>
  </hyperlinks>
  <pageMargins left="0.25" right="0.25" top="0.5" bottom="0.75" header="0.25" footer="0.25"/>
  <pageSetup scale="94" fitToHeight="100" orientation="landscape" r:id="rId114"/>
  <headerFooter alignWithMargins="0">
    <oddHeader>&amp;L&amp;8&amp;A&amp;R&amp;8&amp;F</oddHeader>
    <oddFooter>&amp;C&amp;"Arial,Bold"- HP CONFIDENTIAL -&amp;R&amp;8Page &amp;P of &amp;N</oddFooter>
  </headerFooter>
  <legacyDrawing r:id="rId11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Results10">
    <outlinePr summaryBelow="0" summaryRight="0"/>
    <pageSetUpPr autoPageBreaks="0" fitToPage="1"/>
  </sheetPr>
  <dimension ref="A1:L241"/>
  <sheetViews>
    <sheetView showGridLines="0" zoomScaleNormal="100" workbookViewId="0">
      <pane xSplit="3" ySplit="7" topLeftCell="D26" activePane="bottomRight" state="frozen"/>
      <selection activeCell="E36" sqref="E36"/>
      <selection pane="topRight" activeCell="E36" sqref="E36"/>
      <selection pane="bottomLeft" activeCell="E36" sqref="E36"/>
      <selection pane="bottomRight" activeCell="E36" sqref="E36"/>
    </sheetView>
  </sheetViews>
  <sheetFormatPr defaultRowHeight="12.75"/>
  <cols>
    <col min="1" max="1" width="11.85546875" style="295" hidden="1" customWidth="1"/>
    <col min="2" max="2" width="3.42578125" style="295" customWidth="1"/>
    <col min="3" max="3" width="96" style="295" customWidth="1"/>
    <col min="4" max="4" width="10.7109375" style="295" customWidth="1"/>
    <col min="5" max="5" width="45.7109375" style="295" customWidth="1"/>
    <col min="6" max="6" width="12" style="295" hidden="1" customWidth="1"/>
    <col min="7" max="7" width="45.7109375" style="295" customWidth="1"/>
    <col min="8" max="8" width="12" style="295" hidden="1" customWidth="1"/>
    <col min="9" max="9" width="9.140625" style="295"/>
    <col min="10" max="10" width="10.140625" style="295" customWidth="1"/>
    <col min="11" max="16384" width="9.140625" style="295"/>
  </cols>
  <sheetData>
    <row r="1" spans="1:9" ht="13.5" hidden="1" customHeight="1">
      <c r="A1" s="295">
        <f>ROW(C229)</f>
        <v>229</v>
      </c>
    </row>
    <row r="2" spans="1:9">
      <c r="A2" s="295">
        <f>COLUMN(C229)</f>
        <v>3</v>
      </c>
      <c r="C2" s="171" t="s">
        <v>2480</v>
      </c>
      <c r="E2" s="172" t="str">
        <f>TT_LOCK(0)</f>
        <v/>
      </c>
      <c r="G2" s="357" t="str">
        <f>TT_LOCK(4)</f>
        <v>***RESULTS LOCKED***</v>
      </c>
    </row>
    <row r="3" spans="1:9">
      <c r="A3" s="295">
        <f>COLUMN(J229)</f>
        <v>10</v>
      </c>
      <c r="C3" s="173" t="str">
        <f>TT_CFG("System Bios")</f>
        <v>System Bios</v>
      </c>
      <c r="E3" s="347">
        <v>0.46</v>
      </c>
      <c r="F3" s="348"/>
      <c r="G3" s="347">
        <v>0.45</v>
      </c>
      <c r="H3" s="348"/>
      <c r="I3" s="294"/>
    </row>
    <row r="4" spans="1:9">
      <c r="C4" s="173" t="str">
        <f>TT_CFG("Kbc")</f>
        <v>Kbc</v>
      </c>
      <c r="E4" s="347" t="s">
        <v>2995</v>
      </c>
      <c r="F4" s="348"/>
      <c r="G4" s="347">
        <v>45.09</v>
      </c>
      <c r="H4" s="348"/>
      <c r="I4" s="294"/>
    </row>
    <row r="5" spans="1:9">
      <c r="C5" s="173" t="str">
        <f>TT_CFG("Me Version")</f>
        <v>Me Version</v>
      </c>
      <c r="E5" s="347" t="s">
        <v>3000</v>
      </c>
      <c r="F5" s="348"/>
      <c r="G5" s="347" t="s">
        <v>2792</v>
      </c>
      <c r="H5" s="348"/>
      <c r="I5" s="294"/>
    </row>
    <row r="6" spans="1:9">
      <c r="I6" s="174"/>
    </row>
    <row r="7" spans="1:9">
      <c r="C7" s="175" t="str">
        <f>TT_CFG("UserLabel")</f>
        <v>Configuration ID</v>
      </c>
      <c r="D7" s="176"/>
      <c r="E7" s="349" t="s">
        <v>2793</v>
      </c>
      <c r="F7" s="350"/>
      <c r="G7" s="349" t="s">
        <v>2884</v>
      </c>
      <c r="H7" s="350"/>
      <c r="I7" s="294"/>
    </row>
    <row r="8" spans="1:9" ht="12.75" customHeight="1">
      <c r="C8" s="177" t="str">
        <f>TT_CFG("Unit Id")</f>
        <v>Unit Id</v>
      </c>
      <c r="D8" s="176"/>
      <c r="E8" s="342" t="s">
        <v>2779</v>
      </c>
      <c r="F8" s="338"/>
      <c r="G8" s="342" t="s">
        <v>2779</v>
      </c>
      <c r="H8" s="338"/>
      <c r="I8" s="294"/>
    </row>
    <row r="9" spans="1:9" ht="12.75" customHeight="1">
      <c r="C9" s="177" t="str">
        <f>TT_CFG("System Board")</f>
        <v>System Board</v>
      </c>
      <c r="D9" s="176"/>
      <c r="E9" s="342" t="s">
        <v>2780</v>
      </c>
      <c r="F9" s="338"/>
      <c r="G9" s="342" t="s">
        <v>2780</v>
      </c>
      <c r="H9" s="338"/>
      <c r="I9" s="294"/>
    </row>
    <row r="10" spans="1:9" ht="12.75" customHeight="1">
      <c r="C10" s="177" t="str">
        <f>TT_CFG("Processor")</f>
        <v>Processor</v>
      </c>
      <c r="D10" s="176"/>
      <c r="E10" s="342" t="s">
        <v>2781</v>
      </c>
      <c r="F10" s="338"/>
      <c r="G10" s="342" t="s">
        <v>2781</v>
      </c>
      <c r="H10" s="338"/>
      <c r="I10" s="294"/>
    </row>
    <row r="11" spans="1:9" ht="12.75" customHeight="1">
      <c r="C11" s="177" t="str">
        <f>TT_CFG("Video Architecture")</f>
        <v>Video Architecture</v>
      </c>
      <c r="D11" s="176"/>
      <c r="E11" s="342" t="s">
        <v>183</v>
      </c>
      <c r="F11" s="338"/>
      <c r="G11" s="342" t="s">
        <v>183</v>
      </c>
      <c r="H11" s="338"/>
      <c r="I11" s="294"/>
    </row>
    <row r="12" spans="1:9" ht="12.75" customHeight="1">
      <c r="C12" s="177" t="str">
        <f>TT_CFG("Graphics")</f>
        <v>Graphics</v>
      </c>
      <c r="D12" s="176"/>
      <c r="E12" s="342" t="s">
        <v>1820</v>
      </c>
      <c r="F12" s="338"/>
      <c r="G12" s="342" t="s">
        <v>1820</v>
      </c>
      <c r="H12" s="338"/>
      <c r="I12" s="294"/>
    </row>
    <row r="13" spans="1:9" ht="12.75" customHeight="1">
      <c r="C13" s="177" t="str">
        <f>TT_CFG("Vram")</f>
        <v>Vram</v>
      </c>
      <c r="D13" s="176"/>
      <c r="E13" s="342" t="s">
        <v>166</v>
      </c>
      <c r="F13" s="338"/>
      <c r="G13" s="342" t="s">
        <v>166</v>
      </c>
      <c r="H13" s="338"/>
      <c r="I13" s="294"/>
    </row>
    <row r="14" spans="1:9" ht="12.75" customHeight="1">
      <c r="C14" s="177" t="str">
        <f>TT_CFG("Display Panel")</f>
        <v>Display Panel</v>
      </c>
      <c r="D14" s="176"/>
      <c r="E14" s="342" t="s">
        <v>1819</v>
      </c>
      <c r="F14" s="338"/>
      <c r="G14" s="342" t="s">
        <v>1819</v>
      </c>
      <c r="H14" s="338"/>
      <c r="I14" s="294"/>
    </row>
    <row r="15" spans="1:9" ht="12.75" customHeight="1">
      <c r="C15" s="177" t="str">
        <f>TT_CFG("Memory Slot 1")</f>
        <v>Memory Slot 1</v>
      </c>
      <c r="D15" s="176"/>
      <c r="E15" s="342" t="s">
        <v>2782</v>
      </c>
      <c r="F15" s="338"/>
      <c r="G15" s="342" t="s">
        <v>2782</v>
      </c>
      <c r="H15" s="338"/>
      <c r="I15" s="294"/>
    </row>
    <row r="16" spans="1:9" ht="12.75" customHeight="1">
      <c r="C16" s="177" t="str">
        <f>TT_CFG("Memory Slot 2")</f>
        <v>Memory Slot 2</v>
      </c>
      <c r="D16" s="176"/>
      <c r="E16" s="342" t="s">
        <v>166</v>
      </c>
      <c r="F16" s="338"/>
      <c r="G16" s="342" t="s">
        <v>166</v>
      </c>
      <c r="H16" s="338"/>
      <c r="I16" s="294"/>
    </row>
    <row r="17" spans="3:10" ht="12.75" customHeight="1">
      <c r="C17" s="177" t="str">
        <f>TT_CFG("Memory Slot 3")</f>
        <v>Memory Slot 3</v>
      </c>
      <c r="D17" s="176"/>
      <c r="E17" s="342" t="s">
        <v>166</v>
      </c>
      <c r="F17" s="338"/>
      <c r="G17" s="342" t="s">
        <v>166</v>
      </c>
      <c r="H17" s="338"/>
      <c r="I17" s="345"/>
      <c r="J17" s="346"/>
    </row>
    <row r="18" spans="3:10" ht="12.75" customHeight="1">
      <c r="C18" s="177" t="str">
        <f>TT_CFG("Memory Slot 4")</f>
        <v>Memory Slot 4</v>
      </c>
      <c r="D18" s="176"/>
      <c r="E18" s="342" t="s">
        <v>166</v>
      </c>
      <c r="F18" s="338"/>
      <c r="G18" s="342" t="s">
        <v>166</v>
      </c>
      <c r="H18" s="338"/>
      <c r="I18" s="345"/>
      <c r="J18" s="346"/>
    </row>
    <row r="19" spans="3:10" ht="12.75" customHeight="1">
      <c r="C19" s="177" t="str">
        <f>TT_CFG("Hard Drive")</f>
        <v>Hard Drive</v>
      </c>
      <c r="D19" s="176"/>
      <c r="E19" s="342" t="s">
        <v>2783</v>
      </c>
      <c r="F19" s="338"/>
      <c r="G19" s="342" t="s">
        <v>2783</v>
      </c>
      <c r="H19" s="338"/>
      <c r="I19" s="294"/>
    </row>
    <row r="20" spans="3:10" ht="12.75" customHeight="1">
      <c r="C20" s="177" t="str">
        <f>TT_CFG("Bluetooth Module")</f>
        <v>Bluetooth Module</v>
      </c>
      <c r="D20" s="176"/>
      <c r="E20" s="342" t="s">
        <v>2784</v>
      </c>
      <c r="F20" s="338"/>
      <c r="G20" s="342" t="s">
        <v>2784</v>
      </c>
      <c r="H20" s="338"/>
      <c r="I20" s="294"/>
    </row>
    <row r="21" spans="3:10" ht="12.75" customHeight="1">
      <c r="C21" s="177" t="str">
        <f>TT_CFG("Wireless Lan")</f>
        <v>Wireless Lan</v>
      </c>
      <c r="D21" s="176"/>
      <c r="E21" s="342" t="s">
        <v>2784</v>
      </c>
      <c r="F21" s="338"/>
      <c r="G21" s="342" t="s">
        <v>2784</v>
      </c>
      <c r="H21" s="338"/>
      <c r="I21" s="294"/>
    </row>
    <row r="22" spans="3:10" ht="12.75" customHeight="1">
      <c r="C22" s="177" t="str">
        <f>TT_CFG("Wireless Wan")</f>
        <v>Wireless Wan</v>
      </c>
      <c r="D22" s="176"/>
      <c r="E22" s="342" t="s">
        <v>2785</v>
      </c>
      <c r="F22" s="338"/>
      <c r="G22" s="342" t="s">
        <v>2785</v>
      </c>
      <c r="H22" s="338"/>
      <c r="I22" s="294"/>
    </row>
    <row r="23" spans="3:10" ht="12.75" customHeight="1">
      <c r="C23" s="177" t="str">
        <f>TT_CFG("Wired Nic")</f>
        <v>Wired Nic</v>
      </c>
      <c r="D23" s="176"/>
      <c r="E23" s="342" t="s">
        <v>166</v>
      </c>
      <c r="F23" s="338"/>
      <c r="G23" s="342" t="s">
        <v>166</v>
      </c>
      <c r="H23" s="338"/>
      <c r="I23" s="294"/>
    </row>
    <row r="24" spans="3:10" ht="12.75" customHeight="1">
      <c r="C24" s="177" t="str">
        <f>TT_CFG("Modem")</f>
        <v>Modem</v>
      </c>
      <c r="D24" s="176"/>
      <c r="E24" s="342" t="s">
        <v>166</v>
      </c>
      <c r="F24" s="338"/>
      <c r="G24" s="342" t="s">
        <v>166</v>
      </c>
      <c r="H24" s="338"/>
      <c r="I24" s="294"/>
    </row>
    <row r="25" spans="3:10" ht="12.75" customHeight="1">
      <c r="C25" s="177" t="str">
        <f>TT_CFG("Camera")</f>
        <v>Camera</v>
      </c>
      <c r="D25" s="176"/>
      <c r="E25" s="342" t="s">
        <v>2786</v>
      </c>
      <c r="F25" s="338"/>
      <c r="G25" s="342" t="s">
        <v>2786</v>
      </c>
      <c r="H25" s="338"/>
      <c r="I25" s="294"/>
    </row>
    <row r="26" spans="3:10" ht="12.75" customHeight="1">
      <c r="C26" s="177" t="str">
        <f>TT_CFG("Fingerprint Reader")</f>
        <v>Fingerprint Reader</v>
      </c>
      <c r="D26" s="176"/>
      <c r="E26" s="342" t="s">
        <v>166</v>
      </c>
      <c r="F26" s="338"/>
      <c r="G26" s="342" t="s">
        <v>166</v>
      </c>
      <c r="H26" s="338"/>
      <c r="I26" s="294"/>
    </row>
    <row r="27" spans="3:10" ht="12.75" customHeight="1">
      <c r="C27" s="177" t="str">
        <f>TT_CFG("Unit Upgrade Bay Device")</f>
        <v>Unit Upgrade Bay Device</v>
      </c>
      <c r="D27" s="176"/>
      <c r="E27" s="342" t="s">
        <v>166</v>
      </c>
      <c r="F27" s="338"/>
      <c r="G27" s="342" t="s">
        <v>166</v>
      </c>
      <c r="H27" s="338"/>
      <c r="I27" s="294"/>
    </row>
    <row r="28" spans="3:10" ht="12.75" customHeight="1">
      <c r="C28" s="177" t="str">
        <f>TT_CFG("Dock Type")</f>
        <v>Dock Type</v>
      </c>
      <c r="D28" s="176"/>
      <c r="E28" s="342" t="s">
        <v>166</v>
      </c>
      <c r="F28" s="338"/>
      <c r="G28" s="342" t="s">
        <v>166</v>
      </c>
      <c r="H28" s="338"/>
      <c r="I28" s="294"/>
    </row>
    <row r="29" spans="3:10" ht="12.75" customHeight="1">
      <c r="C29" s="177" t="str">
        <f>TT_CFG("Dock Bay Device")</f>
        <v>Dock Bay Device</v>
      </c>
      <c r="D29" s="176"/>
      <c r="E29" s="342" t="s">
        <v>166</v>
      </c>
      <c r="F29" s="338"/>
      <c r="G29" s="342" t="s">
        <v>166</v>
      </c>
      <c r="H29" s="338"/>
      <c r="I29" s="294"/>
    </row>
    <row r="30" spans="3:10" ht="12.75" customHeight="1">
      <c r="C30" s="177" t="str">
        <f>TT_CFG("Touchpad Pointstick Combo")</f>
        <v>Touchpad Pointstick Combo</v>
      </c>
      <c r="D30" s="176"/>
      <c r="E30" s="342" t="s">
        <v>283</v>
      </c>
      <c r="F30" s="338"/>
      <c r="G30" s="342" t="s">
        <v>283</v>
      </c>
      <c r="H30" s="338"/>
      <c r="I30" s="294"/>
    </row>
    <row r="31" spans="3:10" ht="12.75" customHeight="1">
      <c r="C31" s="177" t="str">
        <f>TT_CFG("Keyboard")</f>
        <v>Keyboard</v>
      </c>
      <c r="D31" s="176"/>
      <c r="E31" s="342" t="s">
        <v>239</v>
      </c>
      <c r="F31" s="338"/>
      <c r="G31" s="342" t="s">
        <v>239</v>
      </c>
      <c r="H31" s="338"/>
      <c r="I31" s="294"/>
    </row>
    <row r="32" spans="3:10" ht="12.75" customHeight="1">
      <c r="C32" s="177" t="str">
        <f>TT_CFG("Unit Battery")</f>
        <v>Unit Battery</v>
      </c>
      <c r="D32" s="176"/>
      <c r="E32" s="342" t="s">
        <v>284</v>
      </c>
      <c r="F32" s="338"/>
      <c r="G32" s="342" t="s">
        <v>284</v>
      </c>
      <c r="H32" s="338"/>
      <c r="I32" s="294"/>
    </row>
    <row r="33" spans="3:10" ht="12.75" customHeight="1">
      <c r="C33" s="177" t="str">
        <f>TT_CFG("Travel Battery")</f>
        <v>Travel Battery</v>
      </c>
      <c r="D33" s="176"/>
      <c r="E33" s="342" t="s">
        <v>166</v>
      </c>
      <c r="F33" s="338"/>
      <c r="G33" s="342" t="s">
        <v>166</v>
      </c>
      <c r="H33" s="338"/>
      <c r="I33" s="294"/>
    </row>
    <row r="36" spans="3:10" ht="18">
      <c r="C36" s="178" t="str">
        <f>TT_SUITE("Rom Flash Upgrade Support", -1, 3)</f>
        <v>▼ Rom Flash Upgrade Support</v>
      </c>
      <c r="D36" s="179" t="str">
        <f>TT_ROLLUP(-1, D36, D36)</f>
        <v/>
      </c>
      <c r="E36" s="179" t="str">
        <f>TT_ROLLUP(-1, E36, E36)</f>
        <v/>
      </c>
      <c r="F36" s="293"/>
      <c r="G36" s="179" t="str">
        <f>TT_ROLLUP(-1, G36, G36)</f>
        <v/>
      </c>
      <c r="H36" s="293"/>
      <c r="I36" s="294"/>
    </row>
    <row r="37" spans="3:10" ht="15">
      <c r="C37" s="297" t="s">
        <v>153</v>
      </c>
      <c r="D37" s="297" t="str">
        <f>TT_LOCK(5)</f>
        <v/>
      </c>
      <c r="E37" s="297" t="s">
        <v>2483</v>
      </c>
      <c r="F37" s="293"/>
      <c r="G37" s="297" t="s">
        <v>2483</v>
      </c>
      <c r="H37" s="293"/>
      <c r="I37" s="294"/>
    </row>
    <row r="38" spans="3:10" ht="15">
      <c r="C38" s="297" t="s">
        <v>2484</v>
      </c>
      <c r="D38" s="297" t="str">
        <f>TT_LOCK(5)</f>
        <v/>
      </c>
      <c r="E38" s="297"/>
      <c r="F38" s="293"/>
      <c r="G38" s="297"/>
      <c r="H38" s="293"/>
      <c r="I38" s="294"/>
    </row>
    <row r="39" spans="3:10" ht="15">
      <c r="C39" s="297" t="s">
        <v>2485</v>
      </c>
      <c r="D39" s="297" t="str">
        <f>TT_LOCK(5)</f>
        <v/>
      </c>
      <c r="E39" s="297"/>
      <c r="F39" s="293"/>
      <c r="G39" s="297"/>
      <c r="H39" s="293"/>
      <c r="I39" s="294"/>
    </row>
    <row r="40" spans="3:10" ht="15">
      <c r="C40" s="297" t="s">
        <v>2486</v>
      </c>
      <c r="D40" s="297" t="str">
        <f>TT_LOCK(5)</f>
        <v/>
      </c>
      <c r="E40" s="297"/>
      <c r="F40" s="293"/>
      <c r="G40" s="297"/>
      <c r="H40" s="293"/>
      <c r="I40" s="294"/>
    </row>
    <row r="41" spans="3:10" ht="15">
      <c r="C41" s="297" t="s">
        <v>2487</v>
      </c>
      <c r="D41" s="297" t="str">
        <f>TT_LOCK(5)</f>
        <v/>
      </c>
      <c r="E41" s="297"/>
      <c r="F41" s="293"/>
      <c r="G41" s="297"/>
      <c r="H41" s="293"/>
      <c r="I41" s="294"/>
    </row>
    <row r="42" spans="3:10" ht="15">
      <c r="C42" s="297" t="str">
        <f>TT_CFG("Environment")</f>
        <v>Environment</v>
      </c>
      <c r="D42" s="297" t="s">
        <v>661</v>
      </c>
      <c r="E42" s="343"/>
      <c r="F42" s="344"/>
      <c r="G42" s="343" t="s">
        <v>2886</v>
      </c>
      <c r="H42" s="344"/>
      <c r="I42" s="294"/>
      <c r="J42" s="174"/>
    </row>
    <row r="43" spans="3:10" ht="15">
      <c r="C43" s="180" t="str">
        <f>TT_CASE("Flash: HPBIOSUPDREC on Delay Mode (UEFI)", -1, 3)</f>
        <v xml:space="preserve"> Flash: HPBIOSUPDREC on Delay Mode (UEFI)</v>
      </c>
      <c r="D43" s="136" t="str">
        <f t="shared" ref="D43:D48" si="0">TT_CYCLE(-1)</f>
        <v>●</v>
      </c>
      <c r="E43" s="141" t="str">
        <f>TT_TR("X", "", "")</f>
        <v>●</v>
      </c>
      <c r="F43" s="293" t="s">
        <v>2988</v>
      </c>
      <c r="G43" s="280" t="str">
        <f>TT_TR("P", "", "")</f>
        <v>P</v>
      </c>
      <c r="H43" s="293" t="s">
        <v>2887</v>
      </c>
      <c r="I43" s="294"/>
      <c r="J43" s="182"/>
    </row>
    <row r="44" spans="3:10" ht="15">
      <c r="C44" s="180" t="str">
        <f>TT_CASE("Flash: HPBIOSUPDREC Upgrade on NON Delay Mode (From Windows)", -1, 3)</f>
        <v xml:space="preserve"> Flash: HPBIOSUPDREC Upgrade on NON Delay Mode (From Windows)</v>
      </c>
      <c r="D44" s="136" t="str">
        <f t="shared" si="0"/>
        <v>●</v>
      </c>
      <c r="E44" s="141" t="str">
        <f>TT_TR("X", "", "")</f>
        <v>●</v>
      </c>
      <c r="F44" s="293" t="s">
        <v>2988</v>
      </c>
      <c r="G44" s="280" t="str">
        <f>TT_TR("P", "", "")</f>
        <v>P</v>
      </c>
      <c r="H44" s="293" t="s">
        <v>2888</v>
      </c>
      <c r="I44" s="294"/>
      <c r="J44" s="174"/>
    </row>
    <row r="45" spans="3:10" ht="15">
      <c r="C45" s="180" t="str">
        <f>TT_CASE("Flash - Bios Dok Auto Recovery", -1, 3)</f>
        <v xml:space="preserve"> Flash - Bios Dok Auto Recovery</v>
      </c>
      <c r="D45" s="136" t="str">
        <f t="shared" si="0"/>
        <v>●</v>
      </c>
      <c r="E45" s="141" t="str">
        <f>TT_TR("X", "", "")</f>
        <v>●</v>
      </c>
      <c r="F45" s="293" t="s">
        <v>2988</v>
      </c>
      <c r="G45" s="287" t="str">
        <f>TT_TR("B", "", "Bios K.00 is not ready")</f>
        <v>B</v>
      </c>
      <c r="H45" s="293" t="s">
        <v>2889</v>
      </c>
      <c r="I45" s="294"/>
    </row>
    <row r="46" spans="3:10" ht="15">
      <c r="C46" s="180" t="str">
        <f>TT_CASE("Flash - Bios Corruption Prevention By Manually Corrupting Bios Bin/Cab File", -1, 3)</f>
        <v xml:space="preserve"> Flash - Bios Corruption Prevention By Manually Corrupting Bios Bin/Cab File</v>
      </c>
      <c r="D46" s="136" t="str">
        <f t="shared" si="0"/>
        <v>●</v>
      </c>
      <c r="E46" s="141" t="str">
        <f>TT_TR("X", "", "")</f>
        <v>●</v>
      </c>
      <c r="F46" s="293" t="s">
        <v>2988</v>
      </c>
      <c r="G46" s="284" t="str">
        <f>TT_TR("NA", "", "Only for platform that do not support fire bird .")</f>
        <v>NA</v>
      </c>
      <c r="H46" s="293" t="s">
        <v>2890</v>
      </c>
      <c r="I46" s="294"/>
    </row>
    <row r="47" spans="3:10" ht="15">
      <c r="C47" s="180" t="str">
        <f>TT_CASE("Flash - Pending Boot Block Prevention", -1, 3)</f>
        <v xml:space="preserve"> Flash - Pending Boot Block Prevention</v>
      </c>
      <c r="D47" s="136" t="str">
        <f t="shared" si="0"/>
        <v>●</v>
      </c>
      <c r="E47" s="141" t="str">
        <f>TT_TR("X", "", "")</f>
        <v>●</v>
      </c>
      <c r="F47" s="293" t="s">
        <v>2988</v>
      </c>
      <c r="G47" s="284" t="str">
        <f>TT_TR("NA", "", "No reboot interface when complete flash .")</f>
        <v>NA</v>
      </c>
      <c r="H47" s="293" t="s">
        <v>2891</v>
      </c>
      <c r="I47" s="294"/>
    </row>
    <row r="48" spans="3:10" ht="15">
      <c r="C48" s="180" t="str">
        <f>TT_CASE("Flash: Flash from F10 menu and HP Diagnostics", -1, 3)</f>
        <v xml:space="preserve"> Flash: Flash from F10 menu and HP Diagnostics</v>
      </c>
      <c r="D48" s="136" t="str">
        <f t="shared" si="0"/>
        <v>●</v>
      </c>
      <c r="E48" s="141" t="str">
        <f>TT_TR("X", "", "")</f>
        <v>●</v>
      </c>
      <c r="F48" s="293" t="s">
        <v>2988</v>
      </c>
      <c r="G48" s="280" t="str">
        <f>TT_TR("P", "", "")</f>
        <v>P</v>
      </c>
      <c r="H48" s="293" t="s">
        <v>2892</v>
      </c>
      <c r="I48" s="294"/>
    </row>
    <row r="49" spans="3:9" ht="18">
      <c r="C49" s="178" t="str">
        <f>TT_SUITE("KBC", -1, 3)</f>
        <v>▼ KBC</v>
      </c>
      <c r="D49" s="179" t="str">
        <f>TT_ROLLUP(-1, D49, D49)</f>
        <v/>
      </c>
      <c r="E49" s="179" t="str">
        <f>TT_ROLLUP(-1, E49, E49)</f>
        <v/>
      </c>
      <c r="F49" s="293"/>
      <c r="G49" s="179" t="str">
        <f>TT_ROLLUP(-1, G49, G49)</f>
        <v/>
      </c>
      <c r="H49" s="293"/>
      <c r="I49" s="294"/>
    </row>
    <row r="50" spans="3:9" ht="15">
      <c r="C50" s="297" t="s">
        <v>153</v>
      </c>
      <c r="D50" s="297" t="str">
        <f>TT_LOCK(5)</f>
        <v/>
      </c>
      <c r="E50" s="297" t="s">
        <v>2483</v>
      </c>
      <c r="F50" s="293"/>
      <c r="G50" s="297" t="s">
        <v>2483</v>
      </c>
      <c r="H50" s="293"/>
      <c r="I50" s="294"/>
    </row>
    <row r="51" spans="3:9" ht="15">
      <c r="C51" s="297" t="s">
        <v>2484</v>
      </c>
      <c r="D51" s="297" t="str">
        <f>TT_LOCK(5)</f>
        <v/>
      </c>
      <c r="E51" s="297"/>
      <c r="F51" s="293"/>
      <c r="G51" s="297"/>
      <c r="H51" s="293"/>
      <c r="I51" s="294"/>
    </row>
    <row r="52" spans="3:9" ht="15">
      <c r="C52" s="297" t="s">
        <v>2485</v>
      </c>
      <c r="D52" s="297" t="str">
        <f>TT_LOCK(5)</f>
        <v/>
      </c>
      <c r="E52" s="297"/>
      <c r="F52" s="293"/>
      <c r="G52" s="297"/>
      <c r="H52" s="293"/>
      <c r="I52" s="294"/>
    </row>
    <row r="53" spans="3:9" ht="15">
      <c r="C53" s="297" t="s">
        <v>2486</v>
      </c>
      <c r="D53" s="297" t="str">
        <f>TT_LOCK(5)</f>
        <v/>
      </c>
      <c r="E53" s="297"/>
      <c r="F53" s="293"/>
      <c r="G53" s="297"/>
      <c r="H53" s="293"/>
      <c r="I53" s="294"/>
    </row>
    <row r="54" spans="3:9" ht="15">
      <c r="C54" s="297" t="s">
        <v>2487</v>
      </c>
      <c r="D54" s="297" t="str">
        <f>TT_LOCK(5)</f>
        <v/>
      </c>
      <c r="E54" s="297"/>
      <c r="F54" s="293"/>
      <c r="G54" s="297"/>
      <c r="H54" s="293"/>
      <c r="I54" s="294"/>
    </row>
    <row r="55" spans="3:9" ht="15">
      <c r="C55" s="297" t="str">
        <f>TT_CFG("Environment")</f>
        <v>Environment</v>
      </c>
      <c r="D55" s="297" t="s">
        <v>661</v>
      </c>
      <c r="E55" s="343"/>
      <c r="F55" s="344"/>
      <c r="G55" s="343" t="s">
        <v>2893</v>
      </c>
      <c r="H55" s="344"/>
      <c r="I55" s="294"/>
    </row>
    <row r="56" spans="3:9" ht="15">
      <c r="C56" s="180" t="str">
        <f>TT_CASE("Scan Codes: Keyboard Scan Code Via Winpvt", -1, 3)</f>
        <v xml:space="preserve"> Scan Codes: Keyboard Scan Code Via Winpvt</v>
      </c>
      <c r="D56" s="136" t="str">
        <f t="shared" ref="D56:D67" si="1">TT_CYCLE(-1)</f>
        <v>●</v>
      </c>
      <c r="E56" s="141" t="str">
        <f>TT_TR("X", "", "")</f>
        <v>●</v>
      </c>
      <c r="F56" s="184" t="s">
        <v>2988</v>
      </c>
      <c r="G56" s="288" t="str">
        <f>TT_TR("F", "", "1001113")</f>
        <v>F</v>
      </c>
      <c r="H56" s="184" t="s">
        <v>2900</v>
      </c>
      <c r="I56" s="294"/>
    </row>
    <row r="57" spans="3:9">
      <c r="C57" s="265" t="str">
        <f>TT_CASE("Scan Codes: Keyboard Scan Code Via Winpvt (Orbitz only)", -1, 3)</f>
        <v xml:space="preserve"> Scan Codes: Keyboard Scan Code Via Winpvt (Orbitz only)</v>
      </c>
      <c r="D57" s="136" t="str">
        <f t="shared" si="1"/>
        <v>●</v>
      </c>
      <c r="E57" s="141" t="str">
        <f>TT_TR("X", "", "")</f>
        <v>●</v>
      </c>
      <c r="F57" s="184" t="s">
        <v>2988</v>
      </c>
      <c r="G57" s="280" t="str">
        <f>TT_TR("P", "", "")</f>
        <v>P</v>
      </c>
      <c r="H57" s="184" t="s">
        <v>2901</v>
      </c>
      <c r="I57" s="294"/>
    </row>
    <row r="58" spans="3:9" ht="15">
      <c r="C58" s="180" t="str">
        <f>TT_CASE("SCI/SMI: Wmi Hotkeys And Bezel Buttons  Implementation", -1, 3)</f>
        <v xml:space="preserve"> SCI/SMI: Wmi Hotkeys And Bezel Buttons  Implementation</v>
      </c>
      <c r="D58" s="136" t="str">
        <f t="shared" si="1"/>
        <v>●</v>
      </c>
      <c r="E58" s="141" t="str">
        <f>TT_TR("X", "", "")</f>
        <v>●</v>
      </c>
      <c r="F58" s="184" t="s">
        <v>2988</v>
      </c>
      <c r="G58" s="141" t="str">
        <f>TT_TR("X", "", "")</f>
        <v>●</v>
      </c>
      <c r="H58" s="184" t="s">
        <v>2894</v>
      </c>
      <c r="I58" s="294"/>
    </row>
    <row r="59" spans="3:9" ht="15">
      <c r="C59" s="183" t="str">
        <f>TT_CASE("SCI/SMI: WMI BIOS Configuration Implementation (WinPVT)", -1, 3)</f>
        <v xml:space="preserve"> SCI/SMI: WMI BIOS Configuration Implementation (WinPVT)</v>
      </c>
      <c r="D59" s="136" t="str">
        <f t="shared" si="1"/>
        <v>●</v>
      </c>
      <c r="E59" s="141" t="str">
        <f>TT_TR("X", "", "")</f>
        <v>●</v>
      </c>
      <c r="F59" s="184" t="s">
        <v>2988</v>
      </c>
      <c r="G59" s="288" t="str">
        <f>TT_TR("F", "", "975509")</f>
        <v>F</v>
      </c>
      <c r="H59" s="184" t="s">
        <v>2902</v>
      </c>
      <c r="I59" s="294"/>
    </row>
    <row r="60" spans="3:9" ht="15">
      <c r="C60" s="180" t="str">
        <f>TT_CASE("Deep Sleep (WinPVT)", -1, 3)</f>
        <v xml:space="preserve"> Deep Sleep (WinPVT)</v>
      </c>
      <c r="D60" s="136" t="str">
        <f t="shared" si="1"/>
        <v>●</v>
      </c>
      <c r="E60" s="141" t="str">
        <f>TT_TR("X", "", "")</f>
        <v>●</v>
      </c>
      <c r="F60" s="184" t="s">
        <v>2988</v>
      </c>
      <c r="G60" s="141" t="str">
        <f t="shared" ref="E60:G60" si="2">TT_TR("X", "", "")</f>
        <v>●</v>
      </c>
      <c r="H60" s="184" t="s">
        <v>2693</v>
      </c>
      <c r="I60" s="294"/>
    </row>
    <row r="61" spans="3:9" ht="15">
      <c r="C61" s="183" t="str">
        <f>TT_CASE("Power Mgmt Panel Brightness On Ac/Dc (Verify Increments)", -1, 3)</f>
        <v xml:space="preserve"> Power Mgmt Panel Brightness On Ac/Dc (Verify Increments)</v>
      </c>
      <c r="D61" s="136" t="str">
        <f t="shared" si="1"/>
        <v>●</v>
      </c>
      <c r="E61" s="141" t="str">
        <f>TT_TR("X", "", "")</f>
        <v>●</v>
      </c>
      <c r="F61" s="184" t="s">
        <v>2988</v>
      </c>
      <c r="G61" s="280" t="str">
        <f t="shared" ref="E61:G67" si="3">TT_TR("P", "", "")</f>
        <v>P</v>
      </c>
      <c r="H61" s="184" t="s">
        <v>2895</v>
      </c>
      <c r="I61" s="294"/>
    </row>
    <row r="62" spans="3:9" ht="15">
      <c r="C62" s="183" t="str">
        <f>TT_CASE("Lid Support", -1, 3)</f>
        <v xml:space="preserve"> Lid Support</v>
      </c>
      <c r="D62" s="136" t="str">
        <f t="shared" si="1"/>
        <v>●</v>
      </c>
      <c r="E62" s="141" t="str">
        <f>TT_TR("X", "", "")</f>
        <v>●</v>
      </c>
      <c r="F62" s="184" t="s">
        <v>2988</v>
      </c>
      <c r="G62" s="280" t="str">
        <f t="shared" si="3"/>
        <v>P</v>
      </c>
      <c r="H62" s="184" t="s">
        <v>2896</v>
      </c>
      <c r="I62" s="294"/>
    </row>
    <row r="63" spans="3:9" ht="15">
      <c r="C63" s="180" t="str">
        <f>TT_CASE("4 Key Sequence: Unlock SPI", -1, 3)</f>
        <v xml:space="preserve"> 4 Key Sequence: Unlock SPI</v>
      </c>
      <c r="D63" s="136" t="str">
        <f t="shared" si="1"/>
        <v>●</v>
      </c>
      <c r="E63" s="141" t="str">
        <f>TT_TR("X", "", "")</f>
        <v>●</v>
      </c>
      <c r="F63" s="184" t="s">
        <v>2988</v>
      </c>
      <c r="G63" s="280" t="str">
        <f t="shared" si="3"/>
        <v>P</v>
      </c>
      <c r="H63" s="184" t="s">
        <v>2897</v>
      </c>
      <c r="I63" s="294"/>
    </row>
    <row r="64" spans="3:9" ht="15">
      <c r="C64" s="180" t="str">
        <f>TT_CASE("4 Key Sequence: Execute SMC", -1, 3)</f>
        <v xml:space="preserve"> 4 Key Sequence: Execute SMC</v>
      </c>
      <c r="D64" s="136" t="str">
        <f t="shared" si="1"/>
        <v>●</v>
      </c>
      <c r="E64" s="141" t="str">
        <f>TT_TR("X", "", "")</f>
        <v>●</v>
      </c>
      <c r="F64" s="184" t="s">
        <v>2988</v>
      </c>
      <c r="G64" s="280" t="str">
        <f t="shared" si="3"/>
        <v>P</v>
      </c>
      <c r="H64" s="184" t="s">
        <v>2898</v>
      </c>
      <c r="I64" s="294"/>
    </row>
    <row r="65" spans="3:10" ht="15">
      <c r="C65" s="180" t="str">
        <f>TT_CASE("4 Key Sequence: NMI Bluescreen", -1, 3)</f>
        <v xml:space="preserve"> 4 Key Sequence: NMI Bluescreen</v>
      </c>
      <c r="D65" s="136" t="str">
        <f t="shared" si="1"/>
        <v>●</v>
      </c>
      <c r="E65" s="141" t="str">
        <f>TT_TR("X", "", "")</f>
        <v>●</v>
      </c>
      <c r="F65" s="184" t="s">
        <v>2988</v>
      </c>
      <c r="G65" s="280" t="str">
        <f t="shared" si="3"/>
        <v>P</v>
      </c>
      <c r="H65" s="184" t="s">
        <v>2899</v>
      </c>
      <c r="I65" s="294"/>
    </row>
    <row r="66" spans="3:10" ht="15">
      <c r="C66" s="180" t="str">
        <f>TT_CASE("Digital Panel Support (supported platform)", -1, 3)</f>
        <v xml:space="preserve"> Digital Panel Support (supported platform)</v>
      </c>
      <c r="D66" s="136" t="str">
        <f t="shared" si="1"/>
        <v>●</v>
      </c>
      <c r="E66" s="141" t="str">
        <f>TT_TR("X", "", "")</f>
        <v>●</v>
      </c>
      <c r="F66" s="184" t="s">
        <v>2988</v>
      </c>
      <c r="G66" s="280" t="str">
        <f t="shared" si="3"/>
        <v>P</v>
      </c>
      <c r="H66" s="184" t="s">
        <v>2903</v>
      </c>
      <c r="I66" s="294"/>
    </row>
    <row r="67" spans="3:10" ht="15">
      <c r="C67" s="180" t="str">
        <f>TT_CASE("Battery Support:Battery Charge", -1, 3)</f>
        <v xml:space="preserve"> Battery Support:Battery Charge</v>
      </c>
      <c r="D67" s="136" t="str">
        <f t="shared" si="1"/>
        <v>●</v>
      </c>
      <c r="E67" s="141" t="str">
        <f>TT_TR("X", "", "")</f>
        <v>●</v>
      </c>
      <c r="F67" s="184" t="s">
        <v>2988</v>
      </c>
      <c r="G67" s="280" t="str">
        <f t="shared" si="3"/>
        <v>P</v>
      </c>
      <c r="H67" s="184" t="s">
        <v>2904</v>
      </c>
      <c r="I67" s="185"/>
      <c r="J67" s="186"/>
    </row>
    <row r="68" spans="3:10" ht="18">
      <c r="C68" s="178" t="str">
        <f>TT_SUITE("Public / Private WMI", -1, 3)</f>
        <v>▼ Public / Private WMI</v>
      </c>
      <c r="D68" s="179" t="str">
        <f>TT_ROLLUP(-1, D68, D68)</f>
        <v/>
      </c>
      <c r="E68" s="179" t="str">
        <f>TT_ROLLUP(-1, E68, E68)</f>
        <v/>
      </c>
      <c r="F68" s="293"/>
      <c r="G68" s="179" t="str">
        <f>TT_ROLLUP(-1, G68, G68)</f>
        <v/>
      </c>
      <c r="H68" s="293"/>
      <c r="I68" s="294"/>
    </row>
    <row r="69" spans="3:10" ht="15">
      <c r="C69" s="297" t="s">
        <v>153</v>
      </c>
      <c r="D69" s="297" t="str">
        <f>TT_LOCK(5)</f>
        <v/>
      </c>
      <c r="E69" s="297" t="s">
        <v>2483</v>
      </c>
      <c r="F69" s="293"/>
      <c r="G69" s="297" t="s">
        <v>2483</v>
      </c>
      <c r="H69" s="293"/>
      <c r="I69" s="294"/>
    </row>
    <row r="70" spans="3:10" ht="15">
      <c r="C70" s="297" t="s">
        <v>2484</v>
      </c>
      <c r="D70" s="297" t="str">
        <f>TT_LOCK(5)</f>
        <v/>
      </c>
      <c r="E70" s="297"/>
      <c r="F70" s="293"/>
      <c r="G70" s="297"/>
      <c r="H70" s="293"/>
      <c r="I70" s="294"/>
    </row>
    <row r="71" spans="3:10" ht="15">
      <c r="C71" s="297" t="s">
        <v>2485</v>
      </c>
      <c r="D71" s="297" t="str">
        <f>TT_LOCK(5)</f>
        <v/>
      </c>
      <c r="E71" s="297"/>
      <c r="F71" s="293"/>
      <c r="G71" s="297"/>
      <c r="H71" s="293"/>
      <c r="I71" s="294"/>
    </row>
    <row r="72" spans="3:10" ht="15">
      <c r="C72" s="297" t="s">
        <v>2486</v>
      </c>
      <c r="D72" s="297" t="str">
        <f>TT_LOCK(5)</f>
        <v/>
      </c>
      <c r="E72" s="297"/>
      <c r="F72" s="293"/>
      <c r="G72" s="297"/>
      <c r="H72" s="293"/>
      <c r="I72" s="294"/>
    </row>
    <row r="73" spans="3:10" ht="15">
      <c r="C73" s="297" t="s">
        <v>2487</v>
      </c>
      <c r="D73" s="297" t="str">
        <f>TT_LOCK(5)</f>
        <v/>
      </c>
      <c r="E73" s="297"/>
      <c r="F73" s="293"/>
      <c r="G73" s="297"/>
      <c r="H73" s="293"/>
      <c r="I73" s="294"/>
    </row>
    <row r="74" spans="3:10" ht="15">
      <c r="C74" s="297" t="str">
        <f>TT_CFG("Environment")</f>
        <v>Environment</v>
      </c>
      <c r="D74" s="297" t="s">
        <v>661</v>
      </c>
      <c r="E74" s="343"/>
      <c r="F74" s="344"/>
      <c r="G74" s="343" t="s">
        <v>2893</v>
      </c>
      <c r="H74" s="344"/>
      <c r="I74" s="294"/>
    </row>
    <row r="75" spans="3:10" ht="15">
      <c r="C75" s="180" t="str">
        <f>TT_CASE("HP WMI (Public) Interface Test (WinPVT)", -1, 3)</f>
        <v xml:space="preserve"> HP WMI (Public) Interface Test (WinPVT)</v>
      </c>
      <c r="D75" s="136" t="str">
        <f t="shared" ref="D75:D83" si="4">TT_CYCLE(-1)</f>
        <v>●</v>
      </c>
      <c r="E75" s="187" t="str">
        <f>TT_TR("X", "", "")</f>
        <v>●</v>
      </c>
      <c r="F75" s="184" t="s">
        <v>2988</v>
      </c>
      <c r="G75" s="289" t="str">
        <f>TT_TR("F", "", "972669")</f>
        <v>F</v>
      </c>
      <c r="H75" s="184" t="s">
        <v>2905</v>
      </c>
      <c r="I75" s="294"/>
    </row>
    <row r="76" spans="3:10" ht="15">
      <c r="C76" s="180" t="str">
        <f>TT_CASE("BIOS User Management (WinPVT)", -1, 3)</f>
        <v xml:space="preserve"> BIOS User Management (WinPVT)</v>
      </c>
      <c r="D76" s="136" t="str">
        <f t="shared" si="4"/>
        <v>●</v>
      </c>
      <c r="E76" s="187" t="str">
        <f>TT_TR("X", "", "")</f>
        <v>●</v>
      </c>
      <c r="F76" s="184" t="s">
        <v>2988</v>
      </c>
      <c r="G76" s="286" t="str">
        <f>TT_TR("P", "", "")</f>
        <v>P</v>
      </c>
      <c r="H76" s="184" t="s">
        <v>2906</v>
      </c>
      <c r="I76" s="294"/>
    </row>
    <row r="77" spans="3:10" ht="15">
      <c r="C77" s="180" t="str">
        <f>TT_CASE("BIOS Specifications (WinPVT)", -1, 3)</f>
        <v xml:space="preserve"> BIOS Specifications (WinPVT)</v>
      </c>
      <c r="D77" s="136" t="str">
        <f t="shared" si="4"/>
        <v>●</v>
      </c>
      <c r="E77" s="187" t="str">
        <f>TT_TR("X", "", "")</f>
        <v>●</v>
      </c>
      <c r="F77" s="184" t="s">
        <v>2988</v>
      </c>
      <c r="G77" s="289" t="str">
        <f>TT_TR("F", "", "997676")</f>
        <v>F</v>
      </c>
      <c r="H77" s="184" t="s">
        <v>2907</v>
      </c>
      <c r="I77" s="294"/>
    </row>
    <row r="78" spans="3:10" ht="15">
      <c r="C78" s="183" t="str">
        <f>TT_CASE("HP WMI Aceptance Test", -1, 3)</f>
        <v xml:space="preserve"> HP WMI Aceptance Test</v>
      </c>
      <c r="D78" s="136" t="str">
        <f t="shared" si="4"/>
        <v>●</v>
      </c>
      <c r="E78" s="358" t="str">
        <f>TT_TR("X", "", "")</f>
        <v>●</v>
      </c>
      <c r="F78" s="184" t="s">
        <v>2989</v>
      </c>
      <c r="G78" s="290" t="str">
        <f>TT_TR("P", "", "")</f>
        <v>P</v>
      </c>
      <c r="H78" s="184" t="s">
        <v>2908</v>
      </c>
      <c r="I78" s="294"/>
    </row>
    <row r="79" spans="3:10" ht="15">
      <c r="C79" s="183" t="str">
        <f>TT_CASE("Warranty Start Date", -1, 3)</f>
        <v>▼ Warranty Start Date</v>
      </c>
      <c r="D79" s="136" t="str">
        <f t="shared" si="4"/>
        <v>●</v>
      </c>
      <c r="E79" s="187" t="str">
        <f>TT_TR("X", "", "")</f>
        <v>●</v>
      </c>
      <c r="F79" s="184" t="s">
        <v>2989</v>
      </c>
      <c r="G79" s="286" t="str">
        <f>TT_TR("P", "", "")</f>
        <v>P</v>
      </c>
      <c r="H79" s="184" t="s">
        <v>2909</v>
      </c>
      <c r="I79" s="294"/>
    </row>
    <row r="80" spans="3:10" ht="15">
      <c r="C80" s="180" t="str">
        <f>TT_STEP("WWAN SIM card enabled/disabled without internal battery attached", -1, 3)</f>
        <v>WWAN SIM card enabled/disabled without internal battery attached</v>
      </c>
      <c r="D80" s="136" t="str">
        <f t="shared" si="4"/>
        <v>●</v>
      </c>
      <c r="E80" s="187" t="str">
        <f>TT_TR("X", "", "")</f>
        <v>●</v>
      </c>
      <c r="F80" s="184" t="s">
        <v>2989</v>
      </c>
      <c r="G80" s="286" t="str">
        <f>TT_TR("P", "", "")</f>
        <v>P</v>
      </c>
      <c r="H80" s="184" t="s">
        <v>2910</v>
      </c>
      <c r="I80" s="294"/>
    </row>
    <row r="81" spans="3:11" ht="15">
      <c r="C81" s="180" t="str">
        <f>TT_CASE("HP WMI Interface: Thermal Diagnostics Commands", -1, 3)</f>
        <v xml:space="preserve"> HP WMI Interface: Thermal Diagnostics Commands</v>
      </c>
      <c r="D81" s="136" t="str">
        <f t="shared" si="4"/>
        <v>●</v>
      </c>
      <c r="E81" s="141" t="str">
        <f>TT_TR("X", "", "")</f>
        <v>●</v>
      </c>
      <c r="F81" s="184" t="s">
        <v>2989</v>
      </c>
      <c r="G81" s="280" t="str">
        <f>TT_TR("P", "", "")</f>
        <v>P</v>
      </c>
      <c r="H81" s="184" t="s">
        <v>2911</v>
      </c>
      <c r="I81" s="294"/>
      <c r="K81" s="122"/>
    </row>
    <row r="82" spans="3:11" ht="15">
      <c r="C82" s="180" t="str">
        <f>TT_CASE("HP WMI Interface: Battery Charge Control (WinPVT)", -1, 3)</f>
        <v xml:space="preserve"> HP WMI Interface: Battery Charge Control (WinPVT)</v>
      </c>
      <c r="D82" s="136" t="str">
        <f t="shared" si="4"/>
        <v>●</v>
      </c>
      <c r="E82" s="141" t="str">
        <f>TT_TR("X", "", "")</f>
        <v>●</v>
      </c>
      <c r="F82" s="184" t="s">
        <v>2989</v>
      </c>
      <c r="G82" s="141" t="str">
        <f t="shared" ref="E82:G83" si="5">TT_TR("X", "", "")</f>
        <v>●</v>
      </c>
      <c r="H82" s="184" t="s">
        <v>2694</v>
      </c>
      <c r="I82" s="294"/>
    </row>
    <row r="83" spans="3:11" ht="15">
      <c r="C83" s="180" t="str">
        <f>TT_CASE("Wireless Manageability Control (BCU)", -1, 3)</f>
        <v xml:space="preserve"> Wireless Manageability Control (BCU)</v>
      </c>
      <c r="D83" s="136" t="str">
        <f t="shared" si="4"/>
        <v>●</v>
      </c>
      <c r="E83" s="187" t="str">
        <f>TT_TR("X", "", "")</f>
        <v>●</v>
      </c>
      <c r="F83" s="184" t="s">
        <v>2989</v>
      </c>
      <c r="G83" s="187" t="str">
        <f t="shared" si="5"/>
        <v>●</v>
      </c>
      <c r="H83" s="184" t="s">
        <v>2694</v>
      </c>
      <c r="I83" s="294"/>
    </row>
    <row r="84" spans="3:11" ht="18">
      <c r="C84" s="188" t="str">
        <f>TT_SUITE("DMI and SMBIOS support", -1, 3)</f>
        <v>▼ DMI and SMBIOS support</v>
      </c>
      <c r="D84" s="189" t="str">
        <f>TT_ROLLUP(-1, D84, D84)</f>
        <v/>
      </c>
      <c r="E84" s="190" t="str">
        <f>TT_ROLLUP(-1, E84, E84)</f>
        <v/>
      </c>
      <c r="F84" s="191"/>
      <c r="G84" s="190" t="str">
        <f>TT_ROLLUP(-1, G84, G84)</f>
        <v/>
      </c>
      <c r="H84" s="191"/>
      <c r="I84" s="294"/>
    </row>
    <row r="85" spans="3:11" ht="18">
      <c r="C85" s="297" t="s">
        <v>153</v>
      </c>
      <c r="D85" s="296" t="str">
        <f>TT_LOCK(5)</f>
        <v/>
      </c>
      <c r="E85" s="296" t="s">
        <v>2483</v>
      </c>
      <c r="F85" s="191"/>
      <c r="G85" s="296" t="s">
        <v>2483</v>
      </c>
      <c r="H85" s="191"/>
      <c r="I85" s="294"/>
    </row>
    <row r="86" spans="3:11" ht="18">
      <c r="C86" s="297" t="s">
        <v>2484</v>
      </c>
      <c r="D86" s="297" t="str">
        <f>TT_LOCK(5)</f>
        <v/>
      </c>
      <c r="E86" s="296"/>
      <c r="F86" s="191"/>
      <c r="G86" s="296"/>
      <c r="H86" s="191"/>
      <c r="I86" s="294"/>
    </row>
    <row r="87" spans="3:11" ht="18">
      <c r="C87" s="297" t="s">
        <v>2485</v>
      </c>
      <c r="D87" s="297" t="str">
        <f>TT_LOCK(5)</f>
        <v/>
      </c>
      <c r="E87" s="296"/>
      <c r="F87" s="191"/>
      <c r="G87" s="296"/>
      <c r="H87" s="191"/>
      <c r="I87" s="294"/>
    </row>
    <row r="88" spans="3:11" ht="15">
      <c r="C88" s="297" t="s">
        <v>2486</v>
      </c>
      <c r="D88" s="297" t="str">
        <f>TT_LOCK(5)</f>
        <v/>
      </c>
      <c r="E88" s="297"/>
      <c r="F88" s="293"/>
      <c r="G88" s="297"/>
      <c r="H88" s="293"/>
      <c r="I88" s="294"/>
    </row>
    <row r="89" spans="3:11" ht="18">
      <c r="C89" s="297" t="s">
        <v>2487</v>
      </c>
      <c r="D89" s="297" t="str">
        <f>TT_LOCK(5)</f>
        <v/>
      </c>
      <c r="E89" s="296"/>
      <c r="F89" s="191"/>
      <c r="G89" s="296"/>
      <c r="H89" s="191"/>
      <c r="I89" s="294"/>
    </row>
    <row r="90" spans="3:11" ht="18">
      <c r="C90" s="297" t="str">
        <f>TT_CFG("Environment")</f>
        <v>Environment</v>
      </c>
      <c r="D90" s="296" t="s">
        <v>661</v>
      </c>
      <c r="E90" s="339"/>
      <c r="F90" s="340"/>
      <c r="G90" s="339" t="s">
        <v>2893</v>
      </c>
      <c r="H90" s="340"/>
      <c r="I90" s="294"/>
    </row>
    <row r="91" spans="3:11" ht="18">
      <c r="C91" s="180" t="str">
        <f>TT_CASE("WinPVT (SMBIOS Inter)", -1, 3)</f>
        <v xml:space="preserve"> WinPVT (SMBIOS Inter)</v>
      </c>
      <c r="D91" s="136" t="str">
        <f>TT_CYCLE(-1)</f>
        <v>●</v>
      </c>
      <c r="E91" s="187" t="str">
        <f>TT_TR("X", "", "")</f>
        <v>●</v>
      </c>
      <c r="F91" s="191" t="s">
        <v>2989</v>
      </c>
      <c r="G91" s="286" t="str">
        <f>TT_TR("P", "", "")</f>
        <v>P</v>
      </c>
      <c r="H91" s="191" t="s">
        <v>2912</v>
      </c>
      <c r="I91" s="294"/>
    </row>
    <row r="92" spans="3:11" ht="18">
      <c r="C92" s="180" t="str">
        <f>TT_CASE("SMBIOS Flash Compare (WinPVT)", -1, 3)</f>
        <v xml:space="preserve"> SMBIOS Flash Compare (WinPVT)</v>
      </c>
      <c r="D92" s="136" t="str">
        <f>TT_CYCLE(-1)</f>
        <v>●</v>
      </c>
      <c r="E92" s="187" t="str">
        <f>TT_TR("X", "", "")</f>
        <v>●</v>
      </c>
      <c r="F92" s="191" t="s">
        <v>2989</v>
      </c>
      <c r="G92" s="286" t="str">
        <f>TT_TR("P", "", "")</f>
        <v>P</v>
      </c>
      <c r="H92" s="191" t="s">
        <v>2913</v>
      </c>
      <c r="I92" s="294"/>
    </row>
    <row r="93" spans="3:11" ht="18">
      <c r="C93" s="180" t="str">
        <f ca="1">TT_CASE("SMBIOS Data Verification", -1, 3, "FreeDOS")</f>
        <v xml:space="preserve"> FreeDOS: SMBIOS Data Verification</v>
      </c>
      <c r="D93" s="136" t="str">
        <f>TT_CYCLE(-1)</f>
        <v>●</v>
      </c>
      <c r="E93" s="187" t="str">
        <f>TT_TR("X", "", "")</f>
        <v>●</v>
      </c>
      <c r="F93" s="191" t="s">
        <v>2989</v>
      </c>
      <c r="G93" s="286" t="str">
        <f>TT_TR("P", "", "")</f>
        <v>P</v>
      </c>
      <c r="H93" s="191" t="s">
        <v>2928</v>
      </c>
      <c r="I93" s="294"/>
    </row>
    <row r="94" spans="3:11" ht="15">
      <c r="C94" s="180" t="str">
        <f>TT_CASE("Pnp Ids Verification", -1, 3)</f>
        <v xml:space="preserve"> Pnp Ids Verification</v>
      </c>
      <c r="D94" s="136" t="str">
        <f>TT_CYCLE(-1)</f>
        <v>●</v>
      </c>
      <c r="E94" s="187" t="str">
        <f>TT_TR("X", "", "")</f>
        <v>●</v>
      </c>
      <c r="F94" s="192" t="s">
        <v>2989</v>
      </c>
      <c r="G94" s="289" t="str">
        <f>TT_TR("F", "", "903152")</f>
        <v>F</v>
      </c>
      <c r="H94" s="192" t="s">
        <v>2927</v>
      </c>
      <c r="I94" s="294"/>
    </row>
    <row r="95" spans="3:11" ht="18">
      <c r="C95" s="188" t="str">
        <f>TT_SUITE("F10 defaults and functionalities", -1, 3)</f>
        <v>▼ F10 defaults and functionalities</v>
      </c>
      <c r="D95" s="189" t="str">
        <f>TT_ROLLUP(-1, D95, D95)</f>
        <v/>
      </c>
      <c r="E95" s="190" t="str">
        <f>TT_ROLLUP(-1, E95, E95)</f>
        <v/>
      </c>
      <c r="F95" s="191"/>
      <c r="G95" s="190" t="str">
        <f>TT_ROLLUP(-1, G95, G95)</f>
        <v/>
      </c>
      <c r="H95" s="191"/>
      <c r="I95" s="294"/>
    </row>
    <row r="96" spans="3:11" ht="18">
      <c r="C96" s="297" t="s">
        <v>153</v>
      </c>
      <c r="D96" s="296" t="str">
        <f>TT_LOCK(5)</f>
        <v/>
      </c>
      <c r="E96" s="296" t="s">
        <v>2483</v>
      </c>
      <c r="F96" s="191"/>
      <c r="G96" s="296" t="s">
        <v>2483</v>
      </c>
      <c r="H96" s="191"/>
      <c r="I96" s="294"/>
    </row>
    <row r="97" spans="3:10" ht="18">
      <c r="C97" s="297" t="s">
        <v>2484</v>
      </c>
      <c r="D97" s="297" t="str">
        <f>TT_LOCK(5)</f>
        <v/>
      </c>
      <c r="E97" s="296"/>
      <c r="F97" s="191"/>
      <c r="G97" s="296"/>
      <c r="H97" s="191"/>
      <c r="I97" s="294"/>
    </row>
    <row r="98" spans="3:10" ht="18">
      <c r="C98" s="297" t="s">
        <v>2485</v>
      </c>
      <c r="D98" s="297" t="str">
        <f>TT_LOCK(5)</f>
        <v/>
      </c>
      <c r="E98" s="296"/>
      <c r="F98" s="191"/>
      <c r="G98" s="296"/>
      <c r="H98" s="191"/>
      <c r="I98" s="294"/>
    </row>
    <row r="99" spans="3:10" ht="15">
      <c r="C99" s="297" t="s">
        <v>2486</v>
      </c>
      <c r="D99" s="297" t="str">
        <f>TT_LOCK(5)</f>
        <v/>
      </c>
      <c r="E99" s="297"/>
      <c r="F99" s="293"/>
      <c r="G99" s="297"/>
      <c r="H99" s="293"/>
      <c r="I99" s="294"/>
    </row>
    <row r="100" spans="3:10" ht="18">
      <c r="C100" s="297" t="s">
        <v>2487</v>
      </c>
      <c r="D100" s="297" t="str">
        <f>TT_LOCK(5)</f>
        <v/>
      </c>
      <c r="E100" s="296"/>
      <c r="F100" s="191"/>
      <c r="G100" s="296"/>
      <c r="H100" s="191"/>
      <c r="I100" s="294"/>
    </row>
    <row r="101" spans="3:10" ht="18">
      <c r="C101" s="297" t="str">
        <f>TT_CFG("Environment")</f>
        <v>Environment</v>
      </c>
      <c r="D101" s="296" t="s">
        <v>661</v>
      </c>
      <c r="E101" s="339"/>
      <c r="F101" s="340"/>
      <c r="G101" s="339" t="s">
        <v>2893</v>
      </c>
      <c r="H101" s="340"/>
      <c r="I101" s="294"/>
    </row>
    <row r="102" spans="3:10" ht="18">
      <c r="C102" s="183" t="str">
        <f>TT_CASE("F10 Sanity Check", -1, 3)</f>
        <v xml:space="preserve"> F10 Sanity Check</v>
      </c>
      <c r="D102" s="136" t="str">
        <f t="shared" ref="D102:D113" si="6">TT_CYCLE(-1)</f>
        <v>●</v>
      </c>
      <c r="E102" s="141" t="str">
        <f>TT_TR("X", "", "")</f>
        <v>●</v>
      </c>
      <c r="F102" s="191" t="s">
        <v>2989</v>
      </c>
      <c r="G102" s="280" t="str">
        <f>TT_TR("P", "", "")</f>
        <v>P</v>
      </c>
      <c r="H102" s="191" t="s">
        <v>2929</v>
      </c>
      <c r="I102" s="294"/>
    </row>
    <row r="103" spans="3:10" ht="18">
      <c r="C103" s="183" t="str">
        <f>TT_CASE("F10/F1 - System Information", -1, 3)</f>
        <v xml:space="preserve"> F10/F1 - System Information</v>
      </c>
      <c r="D103" s="136" t="str">
        <f t="shared" si="6"/>
        <v>●</v>
      </c>
      <c r="E103" s="141" t="str">
        <f>TT_TR("X", "", "")</f>
        <v>●</v>
      </c>
      <c r="F103" s="191" t="s">
        <v>2989</v>
      </c>
      <c r="G103" s="288" t="str">
        <f>TT_TR("F", "", "990220")</f>
        <v>F</v>
      </c>
      <c r="H103" s="191" t="s">
        <v>2914</v>
      </c>
      <c r="I103" s="294"/>
    </row>
    <row r="104" spans="3:10" ht="18">
      <c r="C104" s="183" t="str">
        <f>TT_CASE("Switchable Graphics (2013 s series - Fiji/Flores/Fraser and Python/Predator)", -1, 3)</f>
        <v xml:space="preserve"> Switchable Graphics (2013 s series - Fiji/Flores/Fraser and Python/Predator)</v>
      </c>
      <c r="D104" s="136" t="str">
        <f t="shared" si="6"/>
        <v>●</v>
      </c>
      <c r="E104" s="141" t="str">
        <f>TT_TR("X", "", "")</f>
        <v>●</v>
      </c>
      <c r="F104" s="191" t="s">
        <v>2989</v>
      </c>
      <c r="G104" s="284" t="str">
        <f>TT_TR("NA", "", "")</f>
        <v>NA</v>
      </c>
      <c r="H104" s="191" t="s">
        <v>2915</v>
      </c>
      <c r="I104" s="294"/>
    </row>
    <row r="105" spans="3:10" ht="18">
      <c r="C105" s="243" t="str">
        <f>TT_CASE("Hybrid Graphics (2013 15'' and 17'' W-Series)", -1, 3)</f>
        <v xml:space="preserve"> Hybrid Graphics (2013 15'' and 17'' W-Series)</v>
      </c>
      <c r="D105" s="136" t="str">
        <f t="shared" si="6"/>
        <v>●</v>
      </c>
      <c r="E105" s="141" t="str">
        <f>TT_TR("X", "", "")</f>
        <v>●</v>
      </c>
      <c r="F105" s="191" t="s">
        <v>2989</v>
      </c>
      <c r="G105" s="284" t="str">
        <f>TT_TR("NA", "", "")</f>
        <v>NA</v>
      </c>
      <c r="H105" s="191" t="s">
        <v>2915</v>
      </c>
      <c r="I105" s="294"/>
    </row>
    <row r="106" spans="3:10" ht="18">
      <c r="C106" s="243" t="str">
        <f>TT_CASE("Hybrid Graphics (2013 B,P and 14'' W-Series)", -1, 3)</f>
        <v xml:space="preserve"> Hybrid Graphics (2013 B,P and 14'' W-Series)</v>
      </c>
      <c r="D106" s="136" t="str">
        <f t="shared" si="6"/>
        <v>●</v>
      </c>
      <c r="E106" s="141" t="str">
        <f>TT_TR("X", "", "")</f>
        <v>●</v>
      </c>
      <c r="F106" s="191" t="s">
        <v>2989</v>
      </c>
      <c r="G106" s="284" t="str">
        <f>TT_TR("NA", "", "")</f>
        <v>NA</v>
      </c>
      <c r="H106" s="191" t="s">
        <v>2915</v>
      </c>
      <c r="I106" s="294"/>
    </row>
    <row r="107" spans="3:10" ht="18">
      <c r="C107" s="243" t="str">
        <f>TT_CASE("Hybrid Graphics (2013 s series - Rampage, Renegade and Ricochet Discrete)", -1, 3)</f>
        <v xml:space="preserve"> Hybrid Graphics (2013 s series - Rampage, Renegade and Ricochet Discrete)</v>
      </c>
      <c r="D107" s="136" t="str">
        <f t="shared" si="6"/>
        <v>●</v>
      </c>
      <c r="E107" s="141" t="str">
        <f>TT_TR("X", "", "")</f>
        <v>●</v>
      </c>
      <c r="F107" s="191" t="s">
        <v>2989</v>
      </c>
      <c r="G107" s="284" t="str">
        <f>TT_TR("NA", "", "")</f>
        <v>NA</v>
      </c>
      <c r="H107" s="191" t="s">
        <v>2915</v>
      </c>
      <c r="I107" s="294"/>
    </row>
    <row r="108" spans="3:10" ht="18">
      <c r="C108" s="269" t="str">
        <f>TT_CASE("Enhanced Display Feature", -1, 3)</f>
        <v xml:space="preserve"> Enhanced Display Feature</v>
      </c>
      <c r="D108" s="136" t="str">
        <f t="shared" si="6"/>
        <v>●</v>
      </c>
      <c r="E108" s="141" t="str">
        <f>TT_TR("X", "", "")</f>
        <v>●</v>
      </c>
      <c r="F108" s="191" t="s">
        <v>2989</v>
      </c>
      <c r="G108" s="280" t="str">
        <f>TT_TR("P", "", "")</f>
        <v>P</v>
      </c>
      <c r="H108" s="191" t="s">
        <v>2916</v>
      </c>
      <c r="I108" s="294"/>
      <c r="J108" s="122"/>
    </row>
    <row r="109" spans="3:10" ht="18">
      <c r="C109" s="269" t="str">
        <f>TT_CASE("Disable and Remove the Optimums hybrid graphics feature from F10 with BCU tool (for BCR# 118885.)", -1, 3)</f>
        <v xml:space="preserve"> Disable and Remove the Optimums hybrid graphics feature from F10 with BCU tool (for BCR# 118885.)</v>
      </c>
      <c r="D109" s="136" t="str">
        <f t="shared" si="6"/>
        <v>●</v>
      </c>
      <c r="E109" s="141" t="str">
        <f>TT_TR("X", "", "")</f>
        <v>●</v>
      </c>
      <c r="F109" s="191" t="s">
        <v>2989</v>
      </c>
      <c r="G109" s="284" t="str">
        <f>TT_TR("NA", "", "Orbitz only support UMA")</f>
        <v>NA</v>
      </c>
      <c r="H109" s="191" t="s">
        <v>2917</v>
      </c>
      <c r="I109" s="294"/>
    </row>
    <row r="110" spans="3:10" ht="18">
      <c r="C110" s="243" t="str">
        <f>TT_CASE("Feature Byte and Build ID", -1, 3)</f>
        <v xml:space="preserve"> Feature Byte and Build ID</v>
      </c>
      <c r="D110" s="136" t="str">
        <f t="shared" si="6"/>
        <v>●</v>
      </c>
      <c r="E110" s="141" t="str">
        <f>TT_TR("X", "", "")</f>
        <v>●</v>
      </c>
      <c r="F110" s="191" t="s">
        <v>2989</v>
      </c>
      <c r="G110" s="280" t="str">
        <f>TT_TR("P", "", "")</f>
        <v>P</v>
      </c>
      <c r="H110" s="191" t="s">
        <v>2930</v>
      </c>
      <c r="I110" s="294"/>
    </row>
    <row r="111" spans="3:10" s="238" customFormat="1" ht="18">
      <c r="C111" s="241" t="str">
        <f>TT_CASE("Video Memory Size", -1, 3)</f>
        <v xml:space="preserve"> Video Memory Size</v>
      </c>
      <c r="D111" s="136" t="str">
        <f t="shared" si="6"/>
        <v>●</v>
      </c>
      <c r="E111" s="141" t="str">
        <f>TT_TR("X", "", "")</f>
        <v>●</v>
      </c>
      <c r="F111" s="191" t="s">
        <v>2989</v>
      </c>
      <c r="G111" s="280" t="str">
        <f>TT_TR("P", "", "")</f>
        <v>P</v>
      </c>
      <c r="H111" s="191" t="s">
        <v>2931</v>
      </c>
      <c r="I111" s="239"/>
    </row>
    <row r="112" spans="3:10" s="186" customFormat="1" ht="18">
      <c r="C112" s="135" t="str">
        <f>TT_CASE("mSATA Boot", -1, 3)</f>
        <v xml:space="preserve"> mSATA Boot</v>
      </c>
      <c r="D112" s="136" t="str">
        <f t="shared" si="6"/>
        <v>●</v>
      </c>
      <c r="E112" s="141" t="str">
        <f>TT_TR("X", "", "")</f>
        <v>●</v>
      </c>
      <c r="F112" s="191" t="s">
        <v>2989</v>
      </c>
      <c r="G112" s="284" t="str">
        <f>TT_TR("NA", "", "")</f>
        <v>NA</v>
      </c>
      <c r="H112" s="191" t="s">
        <v>2932</v>
      </c>
      <c r="I112" s="185"/>
    </row>
    <row r="113" spans="3:9" s="186" customFormat="1" ht="18">
      <c r="C113" s="248" t="str">
        <f>TT_CASE("Smart Card Reader Power Savings Mode (Enable/Disable) ", -1, 3)</f>
        <v xml:space="preserve"> Smart Card Reader Power Savings Mode (Enable/Disable)</v>
      </c>
      <c r="D113" s="136" t="str">
        <f t="shared" si="6"/>
        <v>●</v>
      </c>
      <c r="E113" s="141" t="str">
        <f>TT_TR("X", "", "")</f>
        <v>●</v>
      </c>
      <c r="F113" s="191" t="s">
        <v>2989</v>
      </c>
      <c r="G113" s="284" t="str">
        <f>TT_TR("NA", "", "")</f>
        <v>NA</v>
      </c>
      <c r="H113" s="191" t="s">
        <v>2932</v>
      </c>
      <c r="I113" s="185"/>
    </row>
    <row r="114" spans="3:9" ht="18">
      <c r="C114" s="188" t="str">
        <f>TT_SUITE("Port and Devices functionality", -1, 3)</f>
        <v>▼ Port and Devices functionality</v>
      </c>
      <c r="D114" s="189" t="str">
        <f>TT_ROLLUP(-1, D114, D114)</f>
        <v/>
      </c>
      <c r="E114" s="190" t="str">
        <f>TT_ROLLUP(-1, E114, E114)</f>
        <v/>
      </c>
      <c r="F114" s="191"/>
      <c r="G114" s="190" t="str">
        <f>TT_ROLLUP(-1, G114, G114)</f>
        <v/>
      </c>
      <c r="H114" s="191"/>
      <c r="I114" s="294"/>
    </row>
    <row r="115" spans="3:9" ht="18">
      <c r="C115" s="297" t="s">
        <v>153</v>
      </c>
      <c r="D115" s="296" t="str">
        <f>TT_LOCK(5)</f>
        <v/>
      </c>
      <c r="E115" s="296" t="s">
        <v>2483</v>
      </c>
      <c r="F115" s="191"/>
      <c r="G115" s="296" t="s">
        <v>2483</v>
      </c>
      <c r="H115" s="191"/>
      <c r="I115" s="294"/>
    </row>
    <row r="116" spans="3:9" ht="18">
      <c r="C116" s="297" t="s">
        <v>2484</v>
      </c>
      <c r="D116" s="297" t="str">
        <f>TT_LOCK(5)</f>
        <v/>
      </c>
      <c r="E116" s="296"/>
      <c r="F116" s="191"/>
      <c r="G116" s="296"/>
      <c r="H116" s="191"/>
      <c r="I116" s="294"/>
    </row>
    <row r="117" spans="3:9" ht="18">
      <c r="C117" s="297" t="s">
        <v>2485</v>
      </c>
      <c r="D117" s="297" t="str">
        <f>TT_LOCK(5)</f>
        <v/>
      </c>
      <c r="E117" s="296"/>
      <c r="F117" s="191"/>
      <c r="G117" s="296"/>
      <c r="H117" s="191"/>
      <c r="I117" s="294"/>
    </row>
    <row r="118" spans="3:9" ht="15">
      <c r="C118" s="297" t="s">
        <v>2486</v>
      </c>
      <c r="D118" s="297" t="str">
        <f>TT_LOCK(5)</f>
        <v/>
      </c>
      <c r="E118" s="297"/>
      <c r="F118" s="293"/>
      <c r="G118" s="297"/>
      <c r="H118" s="293"/>
      <c r="I118" s="294"/>
    </row>
    <row r="119" spans="3:9" ht="18">
      <c r="C119" s="297" t="s">
        <v>2487</v>
      </c>
      <c r="D119" s="297" t="str">
        <f>TT_LOCK(5)</f>
        <v/>
      </c>
      <c r="E119" s="296"/>
      <c r="F119" s="191"/>
      <c r="G119" s="296"/>
      <c r="H119" s="191"/>
      <c r="I119" s="294"/>
    </row>
    <row r="120" spans="3:9" ht="18">
      <c r="C120" s="297" t="str">
        <f>TT_CFG("Environment")</f>
        <v>Environment</v>
      </c>
      <c r="D120" s="296" t="s">
        <v>661</v>
      </c>
      <c r="E120" s="339"/>
      <c r="F120" s="340"/>
      <c r="G120" s="339" t="s">
        <v>2918</v>
      </c>
      <c r="H120" s="340"/>
      <c r="I120" s="294"/>
    </row>
    <row r="121" spans="3:9" ht="18">
      <c r="C121" s="193" t="s">
        <v>2488</v>
      </c>
      <c r="D121" s="181"/>
      <c r="E121" s="194"/>
      <c r="F121" s="191"/>
      <c r="G121" s="194"/>
      <c r="H121" s="191"/>
      <c r="I121" s="294"/>
    </row>
    <row r="122" spans="3:9" ht="18">
      <c r="C122" s="180" t="str">
        <f>TT_CASE("Serial Port", -1, 3)</f>
        <v xml:space="preserve"> Serial Port</v>
      </c>
      <c r="D122" s="136" t="str">
        <f t="shared" ref="D122:D132" si="7">TT_CYCLE(-1)</f>
        <v>●</v>
      </c>
      <c r="E122" s="187" t="str">
        <f>TT_TR("X", "", "")</f>
        <v>●</v>
      </c>
      <c r="F122" s="191" t="s">
        <v>2989</v>
      </c>
      <c r="G122" s="285" t="str">
        <f>TT_TR("NA", "", "")</f>
        <v>NA</v>
      </c>
      <c r="H122" s="191" t="s">
        <v>2933</v>
      </c>
      <c r="I122" s="294"/>
    </row>
    <row r="123" spans="3:9" ht="18">
      <c r="C123" s="180" t="str">
        <f>TT_CASE("USB Port", -1, 3)</f>
        <v xml:space="preserve"> USB Port</v>
      </c>
      <c r="D123" s="136" t="str">
        <f t="shared" si="7"/>
        <v>●</v>
      </c>
      <c r="E123" s="187" t="str">
        <f>TT_TR("X", "", "")</f>
        <v>●</v>
      </c>
      <c r="F123" s="191" t="s">
        <v>2989</v>
      </c>
      <c r="G123" s="285" t="str">
        <f>TT_TR("NA", "", "")</f>
        <v>NA</v>
      </c>
      <c r="H123" s="191" t="s">
        <v>2933</v>
      </c>
      <c r="I123" s="294"/>
    </row>
    <row r="124" spans="3:9" ht="18">
      <c r="C124" s="180" t="str">
        <f>TT_CASE("USB 3.0 Port", -1, 3)</f>
        <v xml:space="preserve"> USB 3.0 Port</v>
      </c>
      <c r="D124" s="136" t="str">
        <f t="shared" si="7"/>
        <v>●</v>
      </c>
      <c r="E124" s="187" t="str">
        <f>TT_TR("X", "", "")</f>
        <v>●</v>
      </c>
      <c r="F124" s="191" t="s">
        <v>2989</v>
      </c>
      <c r="G124" s="187" t="str">
        <f t="shared" ref="E124:G127" si="8">TT_TR("X", "", "")</f>
        <v>●</v>
      </c>
      <c r="H124" s="191" t="s">
        <v>2695</v>
      </c>
      <c r="I124" s="294"/>
    </row>
    <row r="125" spans="3:9" ht="18">
      <c r="C125" s="180" t="str">
        <f>TT_CASE("USB 3.0 Performance", -1, 3)</f>
        <v xml:space="preserve"> USB 3.0 Performance</v>
      </c>
      <c r="D125" s="136" t="str">
        <f t="shared" si="7"/>
        <v>●</v>
      </c>
      <c r="E125" s="187" t="str">
        <f>TT_TR("X", "", "")</f>
        <v>●</v>
      </c>
      <c r="F125" s="191" t="s">
        <v>2989</v>
      </c>
      <c r="G125" s="187" t="str">
        <f t="shared" si="8"/>
        <v>●</v>
      </c>
      <c r="H125" s="191" t="s">
        <v>2695</v>
      </c>
      <c r="I125" s="294"/>
    </row>
    <row r="126" spans="3:9" ht="18">
      <c r="C126" s="180" t="str">
        <f>TT_CASE("1394 Port", -1, 3)</f>
        <v xml:space="preserve"> 1394 Port</v>
      </c>
      <c r="D126" s="136" t="str">
        <f t="shared" si="7"/>
        <v>●</v>
      </c>
      <c r="E126" s="187" t="str">
        <f>TT_TR("X", "", "")</f>
        <v>●</v>
      </c>
      <c r="F126" s="191" t="s">
        <v>2989</v>
      </c>
      <c r="G126" s="285" t="str">
        <f>TT_TR("NA", "", "")</f>
        <v>NA</v>
      </c>
      <c r="H126" s="191" t="s">
        <v>2934</v>
      </c>
      <c r="I126" s="294"/>
    </row>
    <row r="127" spans="3:9" ht="18">
      <c r="C127" s="180" t="str">
        <f>TT_CASE("Flash Media Reader Port", -1, 3)</f>
        <v xml:space="preserve"> Flash Media Reader Port</v>
      </c>
      <c r="D127" s="136" t="str">
        <f t="shared" si="7"/>
        <v>●</v>
      </c>
      <c r="E127" s="187" t="str">
        <f>TT_TR("X", "", "")</f>
        <v>●</v>
      </c>
      <c r="F127" s="191" t="s">
        <v>2989</v>
      </c>
      <c r="G127" s="187" t="str">
        <f t="shared" si="8"/>
        <v>●</v>
      </c>
      <c r="H127" s="191" t="s">
        <v>2695</v>
      </c>
      <c r="I127" s="294"/>
    </row>
    <row r="128" spans="3:9" ht="18">
      <c r="C128" s="180" t="str">
        <f>TT_CASE("PCI Express Port", -1, 3)</f>
        <v xml:space="preserve"> PCI Express Port</v>
      </c>
      <c r="D128" s="136" t="str">
        <f t="shared" si="7"/>
        <v>●</v>
      </c>
      <c r="E128" s="187" t="str">
        <f>TT_TR("X", "", "")</f>
        <v>●</v>
      </c>
      <c r="F128" s="191" t="s">
        <v>2989</v>
      </c>
      <c r="G128" s="285" t="str">
        <f>TT_TR("NA", "", "")</f>
        <v>NA</v>
      </c>
      <c r="H128" s="191" t="s">
        <v>2935</v>
      </c>
      <c r="I128" s="294"/>
    </row>
    <row r="129" spans="3:10" ht="18">
      <c r="C129" s="180" t="str">
        <f>TT_CASE("E-Sata Port", -1, 3)</f>
        <v xml:space="preserve"> E-Sata Port</v>
      </c>
      <c r="D129" s="136" t="str">
        <f t="shared" si="7"/>
        <v>●</v>
      </c>
      <c r="E129" s="187" t="str">
        <f>TT_TR("X", "", "")</f>
        <v>●</v>
      </c>
      <c r="F129" s="191" t="s">
        <v>2989</v>
      </c>
      <c r="G129" s="285" t="str">
        <f>TT_TR("NA", "", "")</f>
        <v>NA</v>
      </c>
      <c r="H129" s="191" t="s">
        <v>2935</v>
      </c>
      <c r="I129" s="294"/>
    </row>
    <row r="130" spans="3:10" ht="18">
      <c r="C130" s="180" t="str">
        <f>TT_CASE("VGA port", -1, 3)</f>
        <v xml:space="preserve"> VGA port</v>
      </c>
      <c r="D130" s="136" t="str">
        <f t="shared" si="7"/>
        <v>●</v>
      </c>
      <c r="E130" s="187" t="str">
        <f>TT_TR("X", "", "")</f>
        <v>●</v>
      </c>
      <c r="F130" s="191" t="s">
        <v>2989</v>
      </c>
      <c r="G130" s="285" t="str">
        <f>TT_TR("NA", "", "")</f>
        <v>NA</v>
      </c>
      <c r="H130" s="191" t="s">
        <v>2935</v>
      </c>
      <c r="I130" s="294"/>
    </row>
    <row r="131" spans="3:10" ht="18">
      <c r="C131" s="180" t="str">
        <f>TT_CASE("DP/HDMI port", -1, 3)</f>
        <v xml:space="preserve"> DP/HDMI port</v>
      </c>
      <c r="D131" s="136" t="str">
        <f t="shared" si="7"/>
        <v>●</v>
      </c>
      <c r="E131" s="187" t="str">
        <f>TT_TR("X", "", "")</f>
        <v>●</v>
      </c>
      <c r="F131" s="191" t="s">
        <v>2989</v>
      </c>
      <c r="G131" s="286" t="str">
        <f>TT_TR("P", "", "")</f>
        <v>P</v>
      </c>
      <c r="H131" s="191" t="s">
        <v>2936</v>
      </c>
      <c r="I131" s="294"/>
      <c r="J131" s="122"/>
    </row>
    <row r="132" spans="3:10" ht="18">
      <c r="C132" s="180" t="str">
        <f>TT_CASE("Thunderbolt port", -1, 3)</f>
        <v xml:space="preserve"> Thunderbolt port</v>
      </c>
      <c r="D132" s="136" t="str">
        <f t="shared" si="7"/>
        <v>●</v>
      </c>
      <c r="E132" s="187" t="str">
        <f>TT_TR("X", "", "")</f>
        <v>●</v>
      </c>
      <c r="F132" s="191" t="s">
        <v>2989</v>
      </c>
      <c r="G132" s="285" t="str">
        <f>TT_TR("NA", "", "")</f>
        <v>NA</v>
      </c>
      <c r="H132" s="191" t="s">
        <v>2937</v>
      </c>
      <c r="I132" s="294"/>
    </row>
    <row r="133" spans="3:10" ht="18">
      <c r="C133" s="193" t="s">
        <v>2489</v>
      </c>
      <c r="D133" s="181"/>
      <c r="E133" s="194"/>
      <c r="F133" s="191"/>
      <c r="G133" s="194"/>
      <c r="H133" s="191"/>
      <c r="I133" s="294"/>
    </row>
    <row r="134" spans="3:10" ht="18">
      <c r="C134" s="180" t="str">
        <f>TT_CASE("WLAN", -1, 3)</f>
        <v xml:space="preserve"> WLAN</v>
      </c>
      <c r="D134" s="136" t="str">
        <f t="shared" ref="D134:D140" si="9">TT_CYCLE(-1)</f>
        <v>●</v>
      </c>
      <c r="E134" s="187" t="str">
        <f>TT_TR("X", "", "")</f>
        <v>●</v>
      </c>
      <c r="F134" s="191" t="s">
        <v>2989</v>
      </c>
      <c r="G134" s="286" t="str">
        <f>TT_TR("P", "", "")</f>
        <v>P</v>
      </c>
      <c r="H134" s="191" t="s">
        <v>2939</v>
      </c>
      <c r="I134" s="294"/>
    </row>
    <row r="135" spans="3:10" ht="18">
      <c r="C135" s="180" t="str">
        <f>TT_CASE("WWAN Quick Connect", -1, 3)</f>
        <v xml:space="preserve"> WWAN Quick Connect</v>
      </c>
      <c r="D135" s="136" t="str">
        <f t="shared" si="9"/>
        <v>●</v>
      </c>
      <c r="E135" s="187" t="str">
        <f>TT_TR("X", "", "")</f>
        <v>●</v>
      </c>
      <c r="F135" s="191" t="s">
        <v>2989</v>
      </c>
      <c r="G135" s="187" t="str">
        <f t="shared" ref="E135:G136" si="10">TT_TR("X", "", "")</f>
        <v>●</v>
      </c>
      <c r="H135" s="191" t="s">
        <v>2695</v>
      </c>
      <c r="I135" s="294"/>
    </row>
    <row r="136" spans="3:10" ht="18">
      <c r="C136" s="180" t="str">
        <f>TT_CASE("Network Card", -1, 3)</f>
        <v xml:space="preserve"> Network Card</v>
      </c>
      <c r="D136" s="136" t="str">
        <f t="shared" si="9"/>
        <v>●</v>
      </c>
      <c r="E136" s="187" t="str">
        <f>TT_TR("X", "", "")</f>
        <v>●</v>
      </c>
      <c r="F136" s="191" t="s">
        <v>2989</v>
      </c>
      <c r="G136" s="187" t="str">
        <f t="shared" si="10"/>
        <v>●</v>
      </c>
      <c r="H136" s="191" t="s">
        <v>2695</v>
      </c>
      <c r="I136" s="294"/>
    </row>
    <row r="137" spans="3:10" ht="18">
      <c r="C137" s="180" t="str">
        <f>TT_CASE("Notebook Upgrade Bay", -1, 3)</f>
        <v xml:space="preserve"> Notebook Upgrade Bay</v>
      </c>
      <c r="D137" s="136" t="str">
        <f t="shared" si="9"/>
        <v>●</v>
      </c>
      <c r="E137" s="187" t="str">
        <f>TT_TR("X", "", "")</f>
        <v>●</v>
      </c>
      <c r="F137" s="191" t="s">
        <v>2989</v>
      </c>
      <c r="G137" s="285" t="str">
        <f>TT_TR("NA", "", "")</f>
        <v>NA</v>
      </c>
      <c r="H137" s="191" t="s">
        <v>2938</v>
      </c>
      <c r="I137" s="294"/>
    </row>
    <row r="138" spans="3:10" ht="18">
      <c r="C138" s="180" t="str">
        <f>TT_CASE("Modem", -1, 3)</f>
        <v xml:space="preserve"> Modem</v>
      </c>
      <c r="D138" s="136" t="str">
        <f t="shared" si="9"/>
        <v>●</v>
      </c>
      <c r="E138" s="187" t="str">
        <f>TT_TR("X", "", "")</f>
        <v>●</v>
      </c>
      <c r="F138" s="191" t="s">
        <v>2989</v>
      </c>
      <c r="G138" s="285" t="str">
        <f>TT_TR("NA", "", "")</f>
        <v>NA</v>
      </c>
      <c r="H138" s="191" t="s">
        <v>2938</v>
      </c>
      <c r="I138" s="294"/>
    </row>
    <row r="139" spans="3:10" ht="18">
      <c r="C139" s="180" t="str">
        <f>TT_CASE("Audio", -1, 3)</f>
        <v xml:space="preserve"> Audio</v>
      </c>
      <c r="D139" s="136" t="str">
        <f t="shared" si="9"/>
        <v>●</v>
      </c>
      <c r="E139" s="187" t="str">
        <f>TT_TR("X", "", "")</f>
        <v>●</v>
      </c>
      <c r="F139" s="191" t="s">
        <v>2989</v>
      </c>
      <c r="G139" s="286" t="str">
        <f>TT_TR("P", "", "")</f>
        <v>P</v>
      </c>
      <c r="H139" s="191" t="s">
        <v>2940</v>
      </c>
      <c r="I139" s="294"/>
      <c r="J139" s="122"/>
    </row>
    <row r="140" spans="3:10" ht="18">
      <c r="C140" s="180" t="str">
        <f>TT_CASE("Near Field Communication", -1, 3)</f>
        <v xml:space="preserve"> Near Field Communication</v>
      </c>
      <c r="D140" s="136" t="str">
        <f t="shared" si="9"/>
        <v>●</v>
      </c>
      <c r="E140" s="187" t="str">
        <f>TT_TR("X", "", "")</f>
        <v>●</v>
      </c>
      <c r="F140" s="191" t="s">
        <v>2989</v>
      </c>
      <c r="G140" s="286" t="str">
        <f>TT_TR("P", "", "")</f>
        <v>P</v>
      </c>
      <c r="H140" s="191" t="s">
        <v>2941</v>
      </c>
      <c r="I140" s="294"/>
    </row>
    <row r="141" spans="3:10" ht="18">
      <c r="C141" s="188" t="str">
        <f>TT_SUITE("Memory Allocation", -1, 3)</f>
        <v>▼ Memory Allocation</v>
      </c>
      <c r="D141" s="189" t="str">
        <f>TT_ROLLUP(-1, D141, D141)</f>
        <v/>
      </c>
      <c r="E141" s="190" t="str">
        <f>TT_ROLLUP(-1, E141, E141)</f>
        <v/>
      </c>
      <c r="F141" s="191"/>
      <c r="G141" s="190" t="str">
        <f>TT_ROLLUP(-1, G141, G141)</f>
        <v/>
      </c>
      <c r="H141" s="191"/>
      <c r="I141" s="294"/>
    </row>
    <row r="142" spans="3:10" ht="18">
      <c r="C142" s="297" t="s">
        <v>153</v>
      </c>
      <c r="D142" s="296" t="str">
        <f>TT_LOCK(5)</f>
        <v/>
      </c>
      <c r="E142" s="296" t="s">
        <v>2483</v>
      </c>
      <c r="F142" s="191"/>
      <c r="G142" s="296" t="s">
        <v>2483</v>
      </c>
      <c r="H142" s="191"/>
      <c r="I142" s="294"/>
    </row>
    <row r="143" spans="3:10" ht="18">
      <c r="C143" s="297" t="s">
        <v>2484</v>
      </c>
      <c r="D143" s="297" t="str">
        <f>TT_LOCK(5)</f>
        <v/>
      </c>
      <c r="E143" s="296"/>
      <c r="F143" s="191"/>
      <c r="G143" s="296"/>
      <c r="H143" s="191"/>
      <c r="I143" s="294"/>
    </row>
    <row r="144" spans="3:10" ht="18">
      <c r="C144" s="297" t="s">
        <v>2485</v>
      </c>
      <c r="D144" s="297" t="str">
        <f>TT_LOCK(5)</f>
        <v/>
      </c>
      <c r="E144" s="296"/>
      <c r="F144" s="191"/>
      <c r="G144" s="296"/>
      <c r="H144" s="191"/>
      <c r="I144" s="294"/>
    </row>
    <row r="145" spans="3:9" ht="15">
      <c r="C145" s="297" t="s">
        <v>2486</v>
      </c>
      <c r="D145" s="297" t="str">
        <f>TT_LOCK(5)</f>
        <v/>
      </c>
      <c r="E145" s="297"/>
      <c r="F145" s="293"/>
      <c r="G145" s="297"/>
      <c r="H145" s="293"/>
      <c r="I145" s="294"/>
    </row>
    <row r="146" spans="3:9" ht="18">
      <c r="C146" s="297" t="s">
        <v>2487</v>
      </c>
      <c r="D146" s="297" t="str">
        <f>TT_LOCK(5)</f>
        <v/>
      </c>
      <c r="E146" s="296"/>
      <c r="F146" s="191"/>
      <c r="G146" s="296"/>
      <c r="H146" s="191"/>
      <c r="I146" s="294"/>
    </row>
    <row r="147" spans="3:9" ht="18">
      <c r="C147" s="297" t="str">
        <f>TT_CFG("Environment")</f>
        <v>Environment</v>
      </c>
      <c r="D147" s="296" t="s">
        <v>661</v>
      </c>
      <c r="E147" s="339"/>
      <c r="F147" s="340"/>
      <c r="G147" s="339"/>
      <c r="H147" s="340"/>
      <c r="I147" s="294"/>
    </row>
    <row r="148" spans="3:9" ht="18">
      <c r="C148" s="180" t="str">
        <f ca="1">TT_CASE("Boot To DOS With Emm386 Loaded ", -1, 3, "FreeDOS")</f>
        <v xml:space="preserve"> FreeDOS: Boot To DOS With Emm386 Loaded</v>
      </c>
      <c r="D148" s="136" t="str">
        <f>TT_CYCLE(-1)</f>
        <v>●</v>
      </c>
      <c r="E148" s="141" t="str">
        <f>TT_TR("X", "", "")</f>
        <v>●</v>
      </c>
      <c r="F148" s="191" t="s">
        <v>2989</v>
      </c>
      <c r="G148" s="141" t="str">
        <f>TT_TR("X", "", "")</f>
        <v>●</v>
      </c>
      <c r="H148" s="191" t="s">
        <v>2696</v>
      </c>
      <c r="I148" s="294"/>
    </row>
    <row r="149" spans="3:9" ht="18">
      <c r="C149" s="180" t="str">
        <f>TT_CASE("System Memory Map (WinPVT)", -1, 3)</f>
        <v xml:space="preserve"> System Memory Map (WinPVT)</v>
      </c>
      <c r="D149" s="136" t="str">
        <f>TT_CYCLE(-1)</f>
        <v>●</v>
      </c>
      <c r="E149" s="141" t="str">
        <f>TT_TR("X", "", "")</f>
        <v>●</v>
      </c>
      <c r="F149" s="191" t="s">
        <v>2990</v>
      </c>
      <c r="G149" s="141" t="str">
        <f>TT_TR("X", "", "")</f>
        <v>●</v>
      </c>
      <c r="H149" s="191" t="s">
        <v>2696</v>
      </c>
      <c r="I149" s="294"/>
    </row>
    <row r="150" spans="3:9" ht="18">
      <c r="C150" s="188" t="str">
        <f>TT_SUITE("EFI Application Validation - Acceptance", -1, 3)</f>
        <v>▼ EFI Application Validation - Acceptance</v>
      </c>
      <c r="D150" s="189" t="str">
        <f>TT_ROLLUP(-1, D150, D150)</f>
        <v/>
      </c>
      <c r="E150" s="190" t="str">
        <f>TT_ROLLUP(-1, E150, E150)</f>
        <v/>
      </c>
      <c r="F150" s="191"/>
      <c r="G150" s="190" t="str">
        <f>TT_ROLLUP(-1, G150, G150)</f>
        <v/>
      </c>
      <c r="H150" s="191"/>
      <c r="I150" s="294"/>
    </row>
    <row r="151" spans="3:9" ht="18">
      <c r="C151" s="297" t="s">
        <v>153</v>
      </c>
      <c r="D151" s="296" t="str">
        <f>TT_LOCK(5)</f>
        <v/>
      </c>
      <c r="E151" s="296" t="s">
        <v>2483</v>
      </c>
      <c r="F151" s="191"/>
      <c r="G151" s="296" t="s">
        <v>2483</v>
      </c>
      <c r="H151" s="191"/>
      <c r="I151" s="294"/>
    </row>
    <row r="152" spans="3:9" ht="18">
      <c r="C152" s="297" t="s">
        <v>2484</v>
      </c>
      <c r="D152" s="297" t="str">
        <f>TT_LOCK(5)</f>
        <v/>
      </c>
      <c r="E152" s="296"/>
      <c r="F152" s="191"/>
      <c r="G152" s="296"/>
      <c r="H152" s="191"/>
      <c r="I152" s="294"/>
    </row>
    <row r="153" spans="3:9" ht="18">
      <c r="C153" s="297" t="s">
        <v>2485</v>
      </c>
      <c r="D153" s="297" t="str">
        <f>TT_LOCK(5)</f>
        <v/>
      </c>
      <c r="E153" s="296"/>
      <c r="F153" s="191"/>
      <c r="G153" s="296"/>
      <c r="H153" s="191"/>
      <c r="I153" s="294"/>
    </row>
    <row r="154" spans="3:9" ht="18">
      <c r="C154" s="297" t="s">
        <v>2487</v>
      </c>
      <c r="D154" s="297" t="str">
        <f>TT_LOCK(5)</f>
        <v/>
      </c>
      <c r="E154" s="296"/>
      <c r="F154" s="191"/>
      <c r="G154" s="296"/>
      <c r="H154" s="191"/>
      <c r="I154" s="294"/>
    </row>
    <row r="155" spans="3:9" ht="18">
      <c r="C155" s="297" t="str">
        <f>TT_CFG("Environment")</f>
        <v>Environment</v>
      </c>
      <c r="D155" s="296" t="s">
        <v>661</v>
      </c>
      <c r="E155" s="339"/>
      <c r="F155" s="340"/>
      <c r="G155" s="339" t="s">
        <v>2918</v>
      </c>
      <c r="H155" s="340"/>
      <c r="I155" s="294"/>
    </row>
    <row r="156" spans="3:9" ht="18">
      <c r="C156" s="197" t="str">
        <f>TT_CASE("EFI Bios Check tool", -1, 3)</f>
        <v xml:space="preserve"> EFI Bios Check tool</v>
      </c>
      <c r="D156" s="136" t="str">
        <f>TT_CYCLE(-1)</f>
        <v>●</v>
      </c>
      <c r="E156" s="141" t="str">
        <f>TT_TR("X", "", "")</f>
        <v>●</v>
      </c>
      <c r="F156" s="191" t="s">
        <v>2990</v>
      </c>
      <c r="G156" s="288" t="str">
        <f>TT_TR("F", "", "980299")</f>
        <v>F</v>
      </c>
      <c r="H156" s="191" t="s">
        <v>2942</v>
      </c>
      <c r="I156" s="294"/>
    </row>
    <row r="157" spans="3:9" ht="18">
      <c r="C157" s="188" t="str">
        <f>TT_SUITE("HP INT15 Support", -1, 3)</f>
        <v>▼ HP INT15 Support</v>
      </c>
      <c r="D157" s="189" t="str">
        <f>TT_ROLLUP(-1, D157, D157)</f>
        <v/>
      </c>
      <c r="E157" s="190" t="str">
        <f>TT_ROLLUP(-1, E157, E157)</f>
        <v/>
      </c>
      <c r="F157" s="191"/>
      <c r="G157" s="190" t="str">
        <f>TT_ROLLUP(-1, G157, G157)</f>
        <v/>
      </c>
      <c r="H157" s="191"/>
      <c r="I157" s="294"/>
    </row>
    <row r="158" spans="3:9" ht="18">
      <c r="C158" s="297" t="s">
        <v>153</v>
      </c>
      <c r="D158" s="296" t="str">
        <f>TT_LOCK(5)</f>
        <v/>
      </c>
      <c r="E158" s="296" t="s">
        <v>2483</v>
      </c>
      <c r="F158" s="191"/>
      <c r="G158" s="296" t="s">
        <v>2483</v>
      </c>
      <c r="H158" s="191"/>
      <c r="I158" s="294"/>
    </row>
    <row r="159" spans="3:9" ht="18">
      <c r="C159" s="297" t="s">
        <v>2484</v>
      </c>
      <c r="D159" s="297" t="str">
        <f>TT_LOCK(5)</f>
        <v/>
      </c>
      <c r="E159" s="296"/>
      <c r="F159" s="191"/>
      <c r="G159" s="296"/>
      <c r="H159" s="191"/>
      <c r="I159" s="294"/>
    </row>
    <row r="160" spans="3:9" ht="18">
      <c r="C160" s="297" t="s">
        <v>2485</v>
      </c>
      <c r="D160" s="297" t="str">
        <f>TT_LOCK(5)</f>
        <v/>
      </c>
      <c r="E160" s="296"/>
      <c r="F160" s="191"/>
      <c r="G160" s="296"/>
      <c r="H160" s="191"/>
      <c r="I160" s="294"/>
    </row>
    <row r="161" spans="3:9" ht="15">
      <c r="C161" s="297" t="s">
        <v>2486</v>
      </c>
      <c r="D161" s="297" t="str">
        <f>TT_LOCK(5)</f>
        <v/>
      </c>
      <c r="E161" s="297"/>
      <c r="F161" s="293"/>
      <c r="G161" s="297"/>
      <c r="H161" s="293"/>
      <c r="I161" s="294"/>
    </row>
    <row r="162" spans="3:9" ht="18">
      <c r="C162" s="297" t="s">
        <v>2487</v>
      </c>
      <c r="D162" s="297" t="str">
        <f>TT_LOCK(5)</f>
        <v/>
      </c>
      <c r="E162" s="296"/>
      <c r="F162" s="191"/>
      <c r="G162" s="296"/>
      <c r="H162" s="191"/>
      <c r="I162" s="294"/>
    </row>
    <row r="163" spans="3:9" ht="18">
      <c r="C163" s="297" t="str">
        <f>TT_CFG("Environment")</f>
        <v>Environment</v>
      </c>
      <c r="D163" s="296" t="s">
        <v>661</v>
      </c>
      <c r="E163" s="339"/>
      <c r="F163" s="340"/>
      <c r="G163" s="339" t="s">
        <v>2918</v>
      </c>
      <c r="H163" s="340"/>
      <c r="I163" s="294"/>
    </row>
    <row r="164" spans="3:9" s="120" customFormat="1" ht="18">
      <c r="C164" s="135" t="str">
        <f>TT_CASE("SSID Verification", -1, 3)</f>
        <v xml:space="preserve"> SSID Verification</v>
      </c>
      <c r="D164" s="136" t="str">
        <f>TT_CYCLE(-1)</f>
        <v>●</v>
      </c>
      <c r="E164" s="137" t="str">
        <f>TT_TR("X", "", "")</f>
        <v>●</v>
      </c>
      <c r="F164" s="198" t="s">
        <v>2990</v>
      </c>
      <c r="G164" s="277" t="str">
        <f>TT_TR("P", "", "")</f>
        <v>P</v>
      </c>
      <c r="H164" s="198" t="s">
        <v>2943</v>
      </c>
      <c r="I164" s="124"/>
    </row>
    <row r="165" spans="3:9" ht="18">
      <c r="C165" s="188" t="str">
        <f>TT_SUITE("ACPI Power Management Support", -1, 3)</f>
        <v>▼ ACPI Power Management Support</v>
      </c>
      <c r="D165" s="189" t="str">
        <f>TT_ROLLUP(-1, D165, D165)</f>
        <v/>
      </c>
      <c r="E165" s="190" t="str">
        <f>TT_ROLLUP(-1, E165, E165)</f>
        <v/>
      </c>
      <c r="F165" s="191"/>
      <c r="G165" s="190" t="str">
        <f>TT_ROLLUP(-1, G165, G165)</f>
        <v/>
      </c>
      <c r="H165" s="191"/>
      <c r="I165" s="294"/>
    </row>
    <row r="166" spans="3:9" ht="18">
      <c r="C166" s="297" t="s">
        <v>153</v>
      </c>
      <c r="D166" s="296" t="str">
        <f>TT_LOCK(5)</f>
        <v/>
      </c>
      <c r="E166" s="296" t="s">
        <v>2483</v>
      </c>
      <c r="F166" s="191"/>
      <c r="G166" s="296" t="s">
        <v>2483</v>
      </c>
      <c r="H166" s="191"/>
      <c r="I166" s="294"/>
    </row>
    <row r="167" spans="3:9" ht="18">
      <c r="C167" s="297" t="s">
        <v>2484</v>
      </c>
      <c r="D167" s="297" t="str">
        <f>TT_LOCK(5)</f>
        <v/>
      </c>
      <c r="E167" s="296"/>
      <c r="F167" s="191"/>
      <c r="G167" s="296"/>
      <c r="H167" s="191"/>
      <c r="I167" s="294"/>
    </row>
    <row r="168" spans="3:9" ht="18">
      <c r="C168" s="297" t="s">
        <v>2485</v>
      </c>
      <c r="D168" s="297" t="str">
        <f>TT_LOCK(5)</f>
        <v/>
      </c>
      <c r="E168" s="296"/>
      <c r="F168" s="191"/>
      <c r="G168" s="296"/>
      <c r="H168" s="191"/>
      <c r="I168" s="294"/>
    </row>
    <row r="169" spans="3:9" ht="15">
      <c r="C169" s="297" t="s">
        <v>2486</v>
      </c>
      <c r="D169" s="297" t="str">
        <f>TT_LOCK(5)</f>
        <v/>
      </c>
      <c r="E169" s="297"/>
      <c r="F169" s="293"/>
      <c r="G169" s="297"/>
      <c r="H169" s="293"/>
      <c r="I169" s="294"/>
    </row>
    <row r="170" spans="3:9" ht="18">
      <c r="C170" s="297" t="s">
        <v>2487</v>
      </c>
      <c r="D170" s="297" t="str">
        <f>TT_LOCK(5)</f>
        <v/>
      </c>
      <c r="E170" s="296"/>
      <c r="F170" s="191"/>
      <c r="G170" s="296"/>
      <c r="H170" s="191"/>
      <c r="I170" s="294"/>
    </row>
    <row r="171" spans="3:9" ht="18">
      <c r="C171" s="297" t="str">
        <f>TT_CFG("Environment")</f>
        <v>Environment</v>
      </c>
      <c r="D171" s="296" t="s">
        <v>661</v>
      </c>
      <c r="E171" s="339"/>
      <c r="F171" s="340"/>
      <c r="G171" s="339" t="s">
        <v>2918</v>
      </c>
      <c r="H171" s="340"/>
      <c r="I171" s="294"/>
    </row>
    <row r="172" spans="3:9" ht="18">
      <c r="C172" s="180" t="str">
        <f>TT_CASE("Power Mgmt Button 4-Second Power Off (From On)", -1, 3)</f>
        <v xml:space="preserve"> Power Mgmt Button 4-Second Power Off (From On)</v>
      </c>
      <c r="D172" s="136" t="str">
        <f>TT_CYCLE(-1)</f>
        <v>●</v>
      </c>
      <c r="E172" s="141" t="str">
        <f>TT_TR("X", "", "")</f>
        <v>●</v>
      </c>
      <c r="F172" s="191" t="s">
        <v>2990</v>
      </c>
      <c r="G172" s="280" t="str">
        <f>TT_TR("P", "", "")</f>
        <v>P</v>
      </c>
      <c r="H172" s="191" t="s">
        <v>2944</v>
      </c>
      <c r="I172" s="294"/>
    </row>
    <row r="173" spans="3:9" ht="18">
      <c r="C173" s="180" t="str">
        <f>TT_CASE("PowerCFG -energy command - Win7 Only", -1, 3)</f>
        <v xml:space="preserve"> PowerCFG -energy command - Win7 Only</v>
      </c>
      <c r="D173" s="136" t="str">
        <f>TT_CYCLE(-1)</f>
        <v>●</v>
      </c>
      <c r="E173" s="141" t="str">
        <f>TT_TR("X", "", "")</f>
        <v>●</v>
      </c>
      <c r="F173" s="191" t="s">
        <v>2990</v>
      </c>
      <c r="G173" s="284" t="str">
        <f>TT_TR("NA", "", "Only for Win 7")</f>
        <v>NA</v>
      </c>
      <c r="H173" s="191" t="s">
        <v>2948</v>
      </c>
      <c r="I173" s="294"/>
    </row>
    <row r="174" spans="3:9" ht="18">
      <c r="C174" s="180" t="str">
        <f>TT_CASE("Supported wake up sources", -1, 3)</f>
        <v xml:space="preserve"> Supported wake up sources</v>
      </c>
      <c r="D174" s="136" t="str">
        <f>TT_CYCLE(-1)</f>
        <v>●</v>
      </c>
      <c r="E174" s="141" t="str">
        <f>TT_TR("X", "", "")</f>
        <v>●</v>
      </c>
      <c r="F174" s="191" t="s">
        <v>2990</v>
      </c>
      <c r="G174" s="280" t="str">
        <f>TT_TR("P", "", "")</f>
        <v>P</v>
      </c>
      <c r="H174" s="191" t="s">
        <v>2949</v>
      </c>
      <c r="I174" s="294"/>
    </row>
    <row r="175" spans="3:9" s="120" customFormat="1">
      <c r="C175" s="256" t="str">
        <f>TT_CASE("ZPOD Testing", -1, 3)</f>
        <v xml:space="preserve"> ZPOD Testing</v>
      </c>
      <c r="D175" s="136" t="str">
        <f>TT_CYCLE(-1)</f>
        <v>●</v>
      </c>
      <c r="E175" s="137" t="str">
        <f>TT_TR("X", "", "")</f>
        <v>●</v>
      </c>
      <c r="F175" s="138" t="s">
        <v>2990</v>
      </c>
      <c r="G175" s="279" t="str">
        <f>TT_TR("NA", "", "Not support ODD")</f>
        <v>NA</v>
      </c>
      <c r="H175" s="138" t="s">
        <v>2945</v>
      </c>
      <c r="I175" s="264"/>
    </row>
    <row r="176" spans="3:9" s="120" customFormat="1">
      <c r="C176" s="256" t="str">
        <f>TT_CASE("Realtek card reader RTD3 support", -1, 3)</f>
        <v xml:space="preserve"> Realtek card reader RTD3 support</v>
      </c>
      <c r="D176" s="136" t="str">
        <f>TT_CYCLE(-1)</f>
        <v>●</v>
      </c>
      <c r="E176" s="137" t="str">
        <f>TT_TR("X", "", "")</f>
        <v>●</v>
      </c>
      <c r="F176" s="138" t="s">
        <v>2990</v>
      </c>
      <c r="G176" s="137" t="str">
        <f>TT_TR("X", "", "")</f>
        <v>●</v>
      </c>
      <c r="H176" s="138" t="s">
        <v>2697</v>
      </c>
      <c r="I176" s="264"/>
    </row>
    <row r="177" spans="3:9" ht="18">
      <c r="C177" s="188" t="str">
        <f>TT_SUITE("Processor Power Management", -1, 3)</f>
        <v>▼ Processor Power Management</v>
      </c>
      <c r="D177" s="189" t="str">
        <f>TT_ROLLUP(-1, D177, D177)</f>
        <v/>
      </c>
      <c r="E177" s="190" t="str">
        <f>TT_ROLLUP(-1, E177, E177)</f>
        <v/>
      </c>
      <c r="F177" s="191"/>
      <c r="G177" s="190" t="str">
        <f>TT_ROLLUP(-1, G177, G177)</f>
        <v/>
      </c>
      <c r="H177" s="191"/>
      <c r="I177" s="294"/>
    </row>
    <row r="178" spans="3:9" ht="18">
      <c r="C178" s="297" t="s">
        <v>153</v>
      </c>
      <c r="D178" s="296" t="str">
        <f>TT_LOCK(5)</f>
        <v/>
      </c>
      <c r="E178" s="296" t="s">
        <v>2483</v>
      </c>
      <c r="F178" s="191"/>
      <c r="G178" s="296" t="s">
        <v>2483</v>
      </c>
      <c r="H178" s="191"/>
      <c r="I178" s="294"/>
    </row>
    <row r="179" spans="3:9" ht="18">
      <c r="C179" s="297" t="s">
        <v>2484</v>
      </c>
      <c r="D179" s="297" t="str">
        <f>TT_LOCK(5)</f>
        <v/>
      </c>
      <c r="E179" s="296"/>
      <c r="F179" s="191"/>
      <c r="G179" s="296"/>
      <c r="H179" s="191"/>
      <c r="I179" s="294"/>
    </row>
    <row r="180" spans="3:9" ht="18">
      <c r="C180" s="297" t="s">
        <v>2485</v>
      </c>
      <c r="D180" s="297" t="str">
        <f>TT_LOCK(5)</f>
        <v/>
      </c>
      <c r="E180" s="296"/>
      <c r="F180" s="191"/>
      <c r="G180" s="296"/>
      <c r="H180" s="191"/>
      <c r="I180" s="294"/>
    </row>
    <row r="181" spans="3:9" ht="15">
      <c r="C181" s="297" t="s">
        <v>2486</v>
      </c>
      <c r="D181" s="297" t="str">
        <f>TT_LOCK(5)</f>
        <v/>
      </c>
      <c r="E181" s="297"/>
      <c r="F181" s="293"/>
      <c r="G181" s="297"/>
      <c r="H181" s="293"/>
      <c r="I181" s="294"/>
    </row>
    <row r="182" spans="3:9" ht="18">
      <c r="C182" s="297" t="s">
        <v>2487</v>
      </c>
      <c r="D182" s="297" t="str">
        <f>TT_LOCK(5)</f>
        <v/>
      </c>
      <c r="E182" s="296"/>
      <c r="F182" s="191"/>
      <c r="G182" s="296"/>
      <c r="H182" s="191"/>
      <c r="I182" s="294"/>
    </row>
    <row r="183" spans="3:9" ht="18">
      <c r="C183" s="297" t="str">
        <f>TT_CFG("Environment")</f>
        <v>Environment</v>
      </c>
      <c r="D183" s="296" t="s">
        <v>661</v>
      </c>
      <c r="E183" s="339"/>
      <c r="F183" s="340"/>
      <c r="G183" s="339" t="s">
        <v>2918</v>
      </c>
      <c r="H183" s="340"/>
      <c r="I183" s="294"/>
    </row>
    <row r="184" spans="3:9" ht="18">
      <c r="C184" s="180" t="str">
        <f>TT_CASE("Power Mgmt Processor C-states Verification", -1, 3)</f>
        <v xml:space="preserve"> Power Mgmt Processor C-states Verification</v>
      </c>
      <c r="D184" s="136" t="str">
        <f t="shared" ref="D184:D190" si="11">TT_CYCLE(-1)</f>
        <v>●</v>
      </c>
      <c r="E184" s="141" t="str">
        <f>TT_TR("X", "", "")</f>
        <v>●</v>
      </c>
      <c r="F184" s="191" t="s">
        <v>2990</v>
      </c>
      <c r="G184" s="284" t="str">
        <f>TT_TR("NA", "", "Only for AMD platform")</f>
        <v>NA</v>
      </c>
      <c r="H184" s="191" t="s">
        <v>2946</v>
      </c>
      <c r="I184" s="294"/>
    </row>
    <row r="185" spans="3:9" ht="18">
      <c r="C185" s="180" t="str">
        <f>TT_CASE("Power Mgmt Processor P-states Verification", -1, 3)</f>
        <v xml:space="preserve"> Power Mgmt Processor P-states Verification</v>
      </c>
      <c r="D185" s="136" t="str">
        <f t="shared" si="11"/>
        <v>●</v>
      </c>
      <c r="E185" s="141" t="str">
        <f>TT_TR("X", "", "")</f>
        <v>●</v>
      </c>
      <c r="F185" s="191" t="s">
        <v>2990</v>
      </c>
      <c r="G185" s="280" t="str">
        <f>TT_TR("P", "", "")</f>
        <v>P</v>
      </c>
      <c r="H185" s="191" t="s">
        <v>2950</v>
      </c>
      <c r="I185" s="294"/>
    </row>
    <row r="186" spans="3:9" ht="18">
      <c r="C186" s="180" t="str">
        <f>TT_CASE("Intel Turbo Boost Technology", -1, 3)</f>
        <v xml:space="preserve"> Intel Turbo Boost Technology</v>
      </c>
      <c r="D186" s="136" t="str">
        <f t="shared" si="11"/>
        <v>●</v>
      </c>
      <c r="E186" s="141" t="str">
        <f>TT_TR("X", "", "")</f>
        <v>●</v>
      </c>
      <c r="F186" s="191" t="s">
        <v>2990</v>
      </c>
      <c r="G186" s="280" t="str">
        <f>TT_TR("P", "", "")</f>
        <v>P</v>
      </c>
      <c r="H186" s="191" t="s">
        <v>2951</v>
      </c>
      <c r="I186" s="294"/>
    </row>
    <row r="187" spans="3:9" ht="18">
      <c r="C187" s="265" t="str">
        <f>TT_CASE("Intel Turbo Boost support while on DC", -1, 3)</f>
        <v xml:space="preserve"> Intel Turbo Boost support while on DC</v>
      </c>
      <c r="D187" s="136" t="str">
        <f t="shared" si="11"/>
        <v>●</v>
      </c>
      <c r="E187" s="141" t="str">
        <f>TT_TR("X", "", "")</f>
        <v>●</v>
      </c>
      <c r="F187" s="191" t="s">
        <v>2990</v>
      </c>
      <c r="G187" s="280" t="str">
        <f>TT_TR("P", "", "")</f>
        <v>P</v>
      </c>
      <c r="H187" s="191" t="s">
        <v>2952</v>
      </c>
      <c r="I187" s="294"/>
    </row>
    <row r="188" spans="3:9" ht="18">
      <c r="C188" s="180" t="str">
        <f>TT_CASE("AMD Core Performance Boost (CPB)", -1, 3)</f>
        <v xml:space="preserve"> AMD Core Performance Boost (CPB)</v>
      </c>
      <c r="D188" s="136" t="str">
        <f t="shared" si="11"/>
        <v>●</v>
      </c>
      <c r="E188" s="141" t="str">
        <f>TT_TR("X", "", "")</f>
        <v>●</v>
      </c>
      <c r="F188" s="191" t="s">
        <v>2990</v>
      </c>
      <c r="G188" s="284" t="str">
        <f>TT_TR("NA", "", "Only for AMD platform")</f>
        <v>NA</v>
      </c>
      <c r="H188" s="191" t="s">
        <v>2947</v>
      </c>
      <c r="I188" s="294"/>
    </row>
    <row r="189" spans="3:9" ht="18">
      <c r="C189" s="180" t="str">
        <f>TT_CASE("AMD NB P-States", -1, 3)</f>
        <v xml:space="preserve"> AMD NB P-States</v>
      </c>
      <c r="D189" s="136" t="str">
        <f t="shared" si="11"/>
        <v>●</v>
      </c>
      <c r="E189" s="141" t="str">
        <f>TT_TR("X", "", "")</f>
        <v>●</v>
      </c>
      <c r="F189" s="191" t="s">
        <v>2990</v>
      </c>
      <c r="G189" s="284" t="str">
        <f>TT_TR("NA", "", "Only for AMD platform")</f>
        <v>NA</v>
      </c>
      <c r="H189" s="191" t="s">
        <v>2947</v>
      </c>
      <c r="I189" s="294"/>
    </row>
    <row r="190" spans="3:9" ht="18">
      <c r="C190" s="180" t="str">
        <f>TT_CASE("Thermal action: Processor Throtle Down, Hibernation &amp; Shutdown", -1, 3)</f>
        <v xml:space="preserve"> Thermal action: Processor Throtle Down, Hibernation &amp; Shutdown</v>
      </c>
      <c r="D190" s="136" t="str">
        <f t="shared" si="11"/>
        <v>●</v>
      </c>
      <c r="E190" s="141" t="str">
        <f>TT_TR("X", "", "")</f>
        <v>●</v>
      </c>
      <c r="F190" s="191" t="s">
        <v>2990</v>
      </c>
      <c r="G190" s="280" t="str">
        <f>TT_TR("P", "", "")</f>
        <v>P</v>
      </c>
      <c r="H190" s="191" t="s">
        <v>2956</v>
      </c>
      <c r="I190" s="294"/>
    </row>
    <row r="191" spans="3:9" ht="36" customHeight="1">
      <c r="C191" s="188" t="str">
        <f>TT_SUITE("PCCS Requirements and Manufacturing Mode (Factory Control Mode)", -1, 3)</f>
        <v>▼ PCCS Requirements and Manufacturing Mode (Factory Control Mode)</v>
      </c>
      <c r="D191" s="189" t="str">
        <f>TT_ROLLUP(-1, D191, D191)</f>
        <v/>
      </c>
      <c r="E191" s="190" t="str">
        <f>TT_ROLLUP(-1, E191, E191)</f>
        <v/>
      </c>
      <c r="F191" s="191"/>
      <c r="G191" s="190" t="str">
        <f>TT_ROLLUP(-1, G191, G191)</f>
        <v/>
      </c>
      <c r="H191" s="191"/>
      <c r="I191" s="294"/>
    </row>
    <row r="192" spans="3:9" ht="18">
      <c r="C192" s="297" t="s">
        <v>153</v>
      </c>
      <c r="D192" s="296" t="str">
        <f>TT_LOCK(5)</f>
        <v/>
      </c>
      <c r="E192" s="296" t="s">
        <v>2483</v>
      </c>
      <c r="F192" s="191"/>
      <c r="G192" s="296" t="s">
        <v>2483</v>
      </c>
      <c r="H192" s="191"/>
      <c r="I192" s="294"/>
    </row>
    <row r="193" spans="3:9" ht="18">
      <c r="C193" s="297" t="s">
        <v>2484</v>
      </c>
      <c r="D193" s="297" t="str">
        <f>TT_LOCK(5)</f>
        <v/>
      </c>
      <c r="E193" s="296"/>
      <c r="F193" s="191"/>
      <c r="G193" s="296"/>
      <c r="H193" s="191"/>
      <c r="I193" s="294"/>
    </row>
    <row r="194" spans="3:9" ht="18">
      <c r="C194" s="297" t="s">
        <v>2485</v>
      </c>
      <c r="D194" s="297" t="str">
        <f>TT_LOCK(5)</f>
        <v/>
      </c>
      <c r="E194" s="296"/>
      <c r="F194" s="191"/>
      <c r="G194" s="296"/>
      <c r="H194" s="191"/>
      <c r="I194" s="294"/>
    </row>
    <row r="195" spans="3:9" ht="15">
      <c r="C195" s="297" t="s">
        <v>2486</v>
      </c>
      <c r="D195" s="297" t="str">
        <f>TT_LOCK(5)</f>
        <v/>
      </c>
      <c r="E195" s="297"/>
      <c r="F195" s="293"/>
      <c r="G195" s="297"/>
      <c r="H195" s="293"/>
      <c r="I195" s="294"/>
    </row>
    <row r="196" spans="3:9" ht="18">
      <c r="C196" s="297" t="s">
        <v>2487</v>
      </c>
      <c r="D196" s="297" t="str">
        <f>TT_LOCK(5)</f>
        <v/>
      </c>
      <c r="E196" s="296"/>
      <c r="F196" s="191"/>
      <c r="G196" s="296"/>
      <c r="H196" s="191"/>
      <c r="I196" s="294"/>
    </row>
    <row r="197" spans="3:9" ht="18">
      <c r="C197" s="297" t="str">
        <f>TT_CFG("Environment")</f>
        <v>Environment</v>
      </c>
      <c r="D197" s="296" t="s">
        <v>661</v>
      </c>
      <c r="E197" s="339"/>
      <c r="F197" s="340"/>
      <c r="G197" s="339" t="s">
        <v>2953</v>
      </c>
      <c r="H197" s="340"/>
      <c r="I197" s="294"/>
    </row>
    <row r="198" spans="3:9" ht="18">
      <c r="C198" s="180" t="str">
        <f>TT_CASE("Factory Control Mode: Enable/Disable methods (Int 15, HP WMI and UEMI)", -1, 3)</f>
        <v xml:space="preserve"> Factory Control Mode: Enable/Disable methods (Int 15, HP WMI and UEMI)</v>
      </c>
      <c r="D198" s="136" t="str">
        <f>TT_CYCLE(-1)</f>
        <v>●</v>
      </c>
      <c r="E198" s="141" t="str">
        <f>TT_TR("X", "", "")</f>
        <v>●</v>
      </c>
      <c r="F198" s="191" t="s">
        <v>2990</v>
      </c>
      <c r="G198" s="280" t="str">
        <f>TT_TR("P", "", "")</f>
        <v>P</v>
      </c>
      <c r="H198" s="191" t="s">
        <v>2957</v>
      </c>
      <c r="I198" s="294"/>
    </row>
    <row r="199" spans="3:9" ht="18">
      <c r="C199" s="183" t="str">
        <f>TT_CASE("MPM Mode: Enable by SMC key", -1, 3)</f>
        <v xml:space="preserve"> MPM Mode: Enable by SMC key</v>
      </c>
      <c r="D199" s="136" t="str">
        <f>TT_CYCLE(-1)</f>
        <v>●</v>
      </c>
      <c r="E199" s="141" t="str">
        <f>TT_TR("X", "", "")</f>
        <v>●</v>
      </c>
      <c r="F199" s="191" t="s">
        <v>2990</v>
      </c>
      <c r="G199" s="280" t="str">
        <f>TT_TR("P", "", "")</f>
        <v>P</v>
      </c>
      <c r="H199" s="191" t="s">
        <v>2958</v>
      </c>
      <c r="I199" s="294"/>
    </row>
    <row r="200" spans="3:9" ht="18">
      <c r="C200" s="188" t="str">
        <f>TT_SUITE("Core Bios Features / Enhancements", -1, 3)</f>
        <v>▼ Core Bios Features / Enhancements</v>
      </c>
      <c r="D200" s="189" t="str">
        <f>TT_ROLLUP(-1, D200, D200)</f>
        <v/>
      </c>
      <c r="E200" s="190" t="str">
        <f>TT_ROLLUP(-1, E200, E200)</f>
        <v/>
      </c>
      <c r="F200" s="191"/>
      <c r="G200" s="190" t="str">
        <f>TT_ROLLUP(-1, G200, G200)</f>
        <v/>
      </c>
      <c r="H200" s="191"/>
      <c r="I200" s="294"/>
    </row>
    <row r="201" spans="3:9" ht="18">
      <c r="C201" s="297" t="s">
        <v>153</v>
      </c>
      <c r="D201" s="296" t="str">
        <f>TT_LOCK(5)</f>
        <v/>
      </c>
      <c r="E201" s="296" t="s">
        <v>2483</v>
      </c>
      <c r="F201" s="191"/>
      <c r="G201" s="296" t="s">
        <v>2483</v>
      </c>
      <c r="H201" s="191"/>
      <c r="I201" s="294"/>
    </row>
    <row r="202" spans="3:9" ht="18">
      <c r="C202" s="297" t="s">
        <v>2484</v>
      </c>
      <c r="D202" s="297" t="str">
        <f>TT_LOCK(5)</f>
        <v/>
      </c>
      <c r="E202" s="296"/>
      <c r="F202" s="191"/>
      <c r="G202" s="296"/>
      <c r="H202" s="191"/>
      <c r="I202" s="294"/>
    </row>
    <row r="203" spans="3:9" ht="18">
      <c r="C203" s="297" t="s">
        <v>2485</v>
      </c>
      <c r="D203" s="297" t="str">
        <f>TT_LOCK(5)</f>
        <v/>
      </c>
      <c r="E203" s="296"/>
      <c r="F203" s="191"/>
      <c r="G203" s="296"/>
      <c r="H203" s="191"/>
      <c r="I203" s="294"/>
    </row>
    <row r="204" spans="3:9" ht="15">
      <c r="C204" s="297" t="s">
        <v>2486</v>
      </c>
      <c r="D204" s="297" t="str">
        <f>TT_LOCK(5)</f>
        <v/>
      </c>
      <c r="E204" s="297"/>
      <c r="F204" s="293"/>
      <c r="G204" s="297"/>
      <c r="H204" s="293"/>
      <c r="I204" s="294"/>
    </row>
    <row r="205" spans="3:9" ht="18">
      <c r="C205" s="297" t="s">
        <v>2487</v>
      </c>
      <c r="D205" s="297" t="str">
        <f>TT_LOCK(5)</f>
        <v/>
      </c>
      <c r="E205" s="296"/>
      <c r="F205" s="191"/>
      <c r="G205" s="296"/>
      <c r="H205" s="191"/>
      <c r="I205" s="294"/>
    </row>
    <row r="206" spans="3:9" ht="18">
      <c r="C206" s="297" t="str">
        <f>TT_CFG("Environment")</f>
        <v>Environment</v>
      </c>
      <c r="D206" s="296" t="s">
        <v>661</v>
      </c>
      <c r="E206" s="339"/>
      <c r="F206" s="340"/>
      <c r="G206" s="339" t="s">
        <v>2918</v>
      </c>
      <c r="H206" s="340"/>
      <c r="I206" s="294"/>
    </row>
    <row r="207" spans="3:9" ht="18">
      <c r="C207" s="180" t="str">
        <f>TT_CASE("Fast Boot", -1, 3)</f>
        <v xml:space="preserve"> Fast Boot</v>
      </c>
      <c r="D207" s="136" t="str">
        <f t="shared" ref="D207:D218" si="12">TT_CYCLE(-1)</f>
        <v>●</v>
      </c>
      <c r="E207" s="141" t="str">
        <f>TT_TR("X", "", "")</f>
        <v>●</v>
      </c>
      <c r="F207" s="191" t="s">
        <v>2990</v>
      </c>
      <c r="G207" s="141" t="str">
        <f t="shared" ref="E207:G216" si="13">TT_TR("X", "", "")</f>
        <v>●</v>
      </c>
      <c r="H207" s="191" t="s">
        <v>2698</v>
      </c>
      <c r="I207" s="294"/>
    </row>
    <row r="208" spans="3:9" ht="18">
      <c r="C208" s="180" t="str">
        <f>TT_CASE("Auto Screen Rotation using Accelerometer", -1, 3)</f>
        <v xml:space="preserve"> Auto Screen Rotation using Accelerometer</v>
      </c>
      <c r="D208" s="136" t="str">
        <f t="shared" si="12"/>
        <v>●</v>
      </c>
      <c r="E208" s="141" t="str">
        <f>TT_TR("X", "", "")</f>
        <v>●</v>
      </c>
      <c r="F208" s="191" t="s">
        <v>2990</v>
      </c>
      <c r="G208" s="141" t="str">
        <f t="shared" si="13"/>
        <v>●</v>
      </c>
      <c r="H208" s="191" t="s">
        <v>2698</v>
      </c>
      <c r="I208" s="294"/>
    </row>
    <row r="209" spans="3:12" s="120" customFormat="1" ht="18">
      <c r="C209" s="241" t="str">
        <f>TT_CASE("HP UEFI variables blocked", -1, 1)</f>
        <v xml:space="preserve"> HP UEFI variables blocked</v>
      </c>
      <c r="D209" s="136" t="str">
        <f t="shared" si="12"/>
        <v>●</v>
      </c>
      <c r="E209" s="137" t="str">
        <f>TT_TR("X", "", "")</f>
        <v>●</v>
      </c>
      <c r="F209" s="198" t="s">
        <v>2990</v>
      </c>
      <c r="G209" s="137" t="str">
        <f t="shared" si="13"/>
        <v>●</v>
      </c>
      <c r="H209" s="198" t="s">
        <v>2698</v>
      </c>
      <c r="I209" s="124"/>
    </row>
    <row r="210" spans="3:12" ht="18">
      <c r="C210" s="180" t="str">
        <f>TT_CASE("D3E Sleep State for Realtek Media Card", -1, 3)</f>
        <v xml:space="preserve"> D3E Sleep State for Realtek Media Card</v>
      </c>
      <c r="D210" s="136" t="str">
        <f t="shared" si="12"/>
        <v>●</v>
      </c>
      <c r="E210" s="141" t="str">
        <f>TT_TR("X", "", "")</f>
        <v>●</v>
      </c>
      <c r="F210" s="191" t="s">
        <v>2990</v>
      </c>
      <c r="G210" s="284" t="str">
        <f>TT_TR("NA", "", "Orbitz is not D3 Dlink")</f>
        <v>NA</v>
      </c>
      <c r="H210" s="191" t="s">
        <v>2919</v>
      </c>
      <c r="I210" s="294"/>
    </row>
    <row r="211" spans="3:12" ht="18">
      <c r="C211" s="180" t="str">
        <f>TT_CASE("Accelerometer test (manual)", -1, 3)</f>
        <v xml:space="preserve"> Accelerometer test (manual)</v>
      </c>
      <c r="D211" s="136" t="str">
        <f t="shared" si="12"/>
        <v>●</v>
      </c>
      <c r="E211" s="141" t="str">
        <f>TT_TR("X", "", "")</f>
        <v>●</v>
      </c>
      <c r="F211" s="191" t="s">
        <v>2990</v>
      </c>
      <c r="G211" s="284" t="str">
        <f>TT_TR("NA", "", "Not support 3D drive guard")</f>
        <v>NA</v>
      </c>
      <c r="H211" s="191" t="s">
        <v>2920</v>
      </c>
      <c r="I211" s="294"/>
    </row>
    <row r="212" spans="3:12" ht="18">
      <c r="C212" s="196" t="str">
        <f>TT_CASE("Accelerometer (Hdd Led Green/Amber) (Winpvt)", -1, 3)</f>
        <v xml:space="preserve"> Accelerometer (Hdd Led Green/Amber) (Winpvt)</v>
      </c>
      <c r="D212" s="136" t="str">
        <f t="shared" si="12"/>
        <v>●</v>
      </c>
      <c r="E212" s="141" t="str">
        <f>TT_TR("X", "", "")</f>
        <v>●</v>
      </c>
      <c r="F212" s="191" t="s">
        <v>2990</v>
      </c>
      <c r="G212" s="284" t="str">
        <f>TT_TR("NA", "", "Not support 3D drive guard")</f>
        <v>NA</v>
      </c>
      <c r="H212" s="191" t="s">
        <v>2920</v>
      </c>
      <c r="I212" s="294"/>
    </row>
    <row r="213" spans="3:12" ht="18">
      <c r="C213" s="135" t="str">
        <f>TT_CASE("CTRL  I (Raid)", -1, 3)</f>
        <v xml:space="preserve"> CTRL  I (Raid)</v>
      </c>
      <c r="D213" s="136" t="str">
        <f t="shared" si="12"/>
        <v>●</v>
      </c>
      <c r="E213" s="141" t="str">
        <f>TT_TR("X", "", "")</f>
        <v>●</v>
      </c>
      <c r="F213" s="191" t="s">
        <v>2990</v>
      </c>
      <c r="G213" s="284" t="str">
        <f>TT_TR("NA", "", "")</f>
        <v>NA</v>
      </c>
      <c r="H213" s="191" t="s">
        <v>2921</v>
      </c>
      <c r="I213" s="294"/>
      <c r="J213" s="122"/>
    </row>
    <row r="214" spans="3:12" s="186" customFormat="1" ht="18">
      <c r="C214" s="135" t="str">
        <f>TT_CASE("AMD Hybrid Boost", -1, 3)</f>
        <v xml:space="preserve"> AMD Hybrid Boost</v>
      </c>
      <c r="D214" s="136" t="str">
        <f t="shared" si="12"/>
        <v>●</v>
      </c>
      <c r="E214" s="141" t="str">
        <f>TT_TR("X", "", "")</f>
        <v>●</v>
      </c>
      <c r="F214" s="191" t="s">
        <v>2990</v>
      </c>
      <c r="G214" s="284" t="str">
        <f>TT_TR("NA", "", "")</f>
        <v>NA</v>
      </c>
      <c r="H214" s="191" t="s">
        <v>2921</v>
      </c>
      <c r="I214" s="185"/>
    </row>
    <row r="215" spans="3:12" s="186" customFormat="1" ht="18">
      <c r="C215" s="135" t="str">
        <f>TT_CASE("Intel Power Optimizer", -1, 3)</f>
        <v xml:space="preserve"> Intel Power Optimizer</v>
      </c>
      <c r="D215" s="136" t="str">
        <f t="shared" si="12"/>
        <v>●</v>
      </c>
      <c r="E215" s="141" t="str">
        <f>TT_TR("X", "", "")</f>
        <v>●</v>
      </c>
      <c r="F215" s="191" t="s">
        <v>2990</v>
      </c>
      <c r="G215" s="284" t="str">
        <f>TT_TR("NA", "", "Orbitz not support connectted standy")</f>
        <v>NA</v>
      </c>
      <c r="H215" s="191" t="s">
        <v>2922</v>
      </c>
      <c r="I215" s="185"/>
      <c r="J215" s="122"/>
    </row>
    <row r="216" spans="3:12" s="250" customFormat="1" ht="15">
      <c r="C216" s="180" t="str">
        <f>TT_CASE("Intel Smart Connect Technology", -1, 3)</f>
        <v xml:space="preserve"> Intel Smart Connect Technology</v>
      </c>
      <c r="D216" s="136" t="str">
        <f t="shared" si="12"/>
        <v>●</v>
      </c>
      <c r="E216" s="137" t="str">
        <f>TT_TR("X", "", "")</f>
        <v>●</v>
      </c>
      <c r="F216" s="252" t="s">
        <v>2990</v>
      </c>
      <c r="G216" s="137" t="str">
        <f t="shared" si="13"/>
        <v>●</v>
      </c>
      <c r="H216" s="252" t="s">
        <v>2698</v>
      </c>
      <c r="I216" s="251"/>
      <c r="L216" s="253"/>
    </row>
    <row r="217" spans="3:12" s="250" customFormat="1" ht="15">
      <c r="C217" s="180" t="str">
        <f>TT_CASE("Intel Thunderbolt Technology", -1, 3)</f>
        <v xml:space="preserve"> Intel Thunderbolt Technology</v>
      </c>
      <c r="D217" s="136" t="str">
        <f t="shared" si="12"/>
        <v>●</v>
      </c>
      <c r="E217" s="137" t="str">
        <f>TT_TR("X", "", "")</f>
        <v>●</v>
      </c>
      <c r="F217" s="252" t="s">
        <v>2990</v>
      </c>
      <c r="G217" s="279" t="str">
        <f>TT_TR("NA", "", "")</f>
        <v>NA</v>
      </c>
      <c r="H217" s="252" t="s">
        <v>2923</v>
      </c>
      <c r="I217" s="251"/>
    </row>
    <row r="218" spans="3:12" s="120" customFormat="1" ht="18">
      <c r="C218" s="256" t="str">
        <f>TT_CASE("Disable LID switch support", -1, 3)</f>
        <v xml:space="preserve"> Disable LID switch support</v>
      </c>
      <c r="D218" s="136" t="str">
        <f t="shared" si="12"/>
        <v>●</v>
      </c>
      <c r="E218" s="137" t="str">
        <f>TT_TR("X", "", "")</f>
        <v>●</v>
      </c>
      <c r="F218" s="198" t="s">
        <v>2990</v>
      </c>
      <c r="G218" s="279" t="str">
        <f>TT_TR("NA", "", "For IEC Factoury only")</f>
        <v>NA</v>
      </c>
      <c r="H218" s="198" t="s">
        <v>2924</v>
      </c>
      <c r="I218" s="124"/>
    </row>
    <row r="219" spans="3:12" ht="26.25" customHeight="1">
      <c r="C219" s="188" t="str">
        <f>TT_SUITE("TCE Requirements Dependence (PV phase or later)", -1, 2)</f>
        <v>► TCE Requirements Dependence (PV phase or later)</v>
      </c>
      <c r="D219" s="189" t="str">
        <f>TT_ROLLUP(-1, D219, D219)</f>
        <v/>
      </c>
      <c r="E219" s="190" t="str">
        <f>TT_ROLLUP(-1, E219, E219)</f>
        <v/>
      </c>
      <c r="F219" s="191"/>
      <c r="G219" s="190" t="str">
        <f>TT_ROLLUP(-1, G219, G219)</f>
        <v/>
      </c>
      <c r="H219" s="191"/>
      <c r="I219" s="294"/>
    </row>
    <row r="220" spans="3:12" ht="15">
      <c r="C220" s="297" t="s">
        <v>153</v>
      </c>
      <c r="D220" s="297" t="str">
        <f>TT_LOCK(5)</f>
        <v/>
      </c>
      <c r="E220" s="297" t="s">
        <v>2483</v>
      </c>
      <c r="F220" s="184"/>
      <c r="G220" s="297" t="s">
        <v>2483</v>
      </c>
      <c r="H220" s="184"/>
      <c r="I220" s="294"/>
    </row>
    <row r="221" spans="3:12" ht="15">
      <c r="C221" s="297" t="s">
        <v>2484</v>
      </c>
      <c r="D221" s="297" t="str">
        <f>TT_LOCK(5)</f>
        <v/>
      </c>
      <c r="E221" s="297"/>
      <c r="F221" s="184"/>
      <c r="G221" s="297"/>
      <c r="H221" s="184"/>
      <c r="I221" s="294"/>
    </row>
    <row r="222" spans="3:12" ht="15">
      <c r="C222" s="297" t="s">
        <v>2485</v>
      </c>
      <c r="D222" s="297" t="str">
        <f>TT_LOCK(5)</f>
        <v/>
      </c>
      <c r="E222" s="297"/>
      <c r="F222" s="184"/>
      <c r="G222" s="297"/>
      <c r="H222" s="184"/>
      <c r="I222" s="294"/>
    </row>
    <row r="223" spans="3:12" ht="15">
      <c r="C223" s="297" t="s">
        <v>2487</v>
      </c>
      <c r="D223" s="297" t="str">
        <f>TT_LOCK(5)</f>
        <v/>
      </c>
      <c r="E223" s="297"/>
      <c r="F223" s="184"/>
      <c r="G223" s="297"/>
      <c r="H223" s="184"/>
      <c r="I223" s="294"/>
    </row>
    <row r="224" spans="3:12" ht="15">
      <c r="C224" s="180" t="str">
        <f>TT_CASE("Startup Service Check: Product Information Check", -1, 3)</f>
        <v xml:space="preserve"> Startup Service Check: Product Information Check</v>
      </c>
      <c r="D224" s="136" t="str">
        <f>TT_CYCLE(-1)</f>
        <v>●</v>
      </c>
      <c r="E224" s="141" t="str">
        <f>TT_TR("X", "", "")</f>
        <v>●</v>
      </c>
      <c r="F224" s="184" t="s">
        <v>2990</v>
      </c>
      <c r="G224" s="284" t="str">
        <f>TT_TR("NA", "", "start form PV")</f>
        <v>NA</v>
      </c>
      <c r="H224" s="184" t="s">
        <v>2925</v>
      </c>
      <c r="I224" s="294"/>
      <c r="L224" s="122"/>
    </row>
    <row r="225" spans="3:12" ht="15">
      <c r="C225" s="180" t="str">
        <f>TT_CASE("DDR3 Memory Check", -1, 3)</f>
        <v xml:space="preserve"> DDR3 Memory Check</v>
      </c>
      <c r="D225" s="136" t="str">
        <f>TT_CYCLE(-1)</f>
        <v>●</v>
      </c>
      <c r="E225" s="141" t="str">
        <f>TT_TR("X", "", "")</f>
        <v>●</v>
      </c>
      <c r="F225" s="184" t="s">
        <v>2990</v>
      </c>
      <c r="G225" s="284" t="str">
        <f>TT_TR("NA", "", "Only for platform which only support DDR3 Memory")</f>
        <v>NA</v>
      </c>
      <c r="H225" s="184" t="s">
        <v>2926</v>
      </c>
      <c r="I225" s="294"/>
      <c r="L225" s="122"/>
    </row>
    <row r="226" spans="3:12">
      <c r="E226" s="186"/>
      <c r="F226" s="172"/>
      <c r="G226" s="186"/>
      <c r="H226" s="172"/>
    </row>
    <row r="227" spans="3:12">
      <c r="C227" s="199"/>
      <c r="D227" s="174"/>
      <c r="E227" s="174"/>
      <c r="G227" s="174"/>
    </row>
    <row r="228" spans="3:12">
      <c r="C228" s="200"/>
      <c r="D228" s="174"/>
      <c r="E228" s="174"/>
      <c r="G228" s="174"/>
    </row>
    <row r="229" spans="3:12">
      <c r="C229" s="201" t="s">
        <v>424</v>
      </c>
      <c r="D229" s="202"/>
      <c r="E229" s="203"/>
      <c r="F229" s="293"/>
      <c r="G229" s="203"/>
      <c r="H229" s="293"/>
      <c r="J229" s="341" t="s">
        <v>151</v>
      </c>
      <c r="K229" s="338"/>
    </row>
    <row r="230" spans="3:12">
      <c r="C230" s="204" t="s">
        <v>97</v>
      </c>
      <c r="D230" s="205">
        <f>INT(TT_COUNT(D$2:D229, -1, "*"))</f>
        <v>92</v>
      </c>
      <c r="E230" s="205">
        <f>INT(TT_COUNT(E$2:E229, -1, "*"))</f>
        <v>92</v>
      </c>
      <c r="F230" s="293"/>
      <c r="G230" s="205">
        <f>INT(TT_COUNT(G$2:G229, -1, "*"))</f>
        <v>92</v>
      </c>
      <c r="H230" s="293"/>
      <c r="J230" s="337">
        <f>SUM($D230:H230)-D230</f>
        <v>184</v>
      </c>
      <c r="K230" s="338"/>
    </row>
    <row r="231" spans="3:12" ht="12" customHeight="1">
      <c r="C231" s="204" t="s">
        <v>96</v>
      </c>
      <c r="D231" s="205">
        <f>INT(TT_COUNT(D$2:D229, -1))</f>
        <v>92</v>
      </c>
      <c r="E231" s="206">
        <f>INT(TT_COUNT(E$2:E229, -1))</f>
        <v>92</v>
      </c>
      <c r="F231" s="293"/>
      <c r="G231" s="206">
        <f>INT(TT_COUNT(G$2:G229, -1))</f>
        <v>92</v>
      </c>
      <c r="H231" s="293"/>
      <c r="J231" s="337">
        <f>SUM($D231:H231)-D231</f>
        <v>184</v>
      </c>
      <c r="K231" s="338"/>
    </row>
    <row r="232" spans="3:12">
      <c r="C232" s="204" t="s">
        <v>150</v>
      </c>
      <c r="D232" s="205">
        <f>D231-TT_COUNT(D$2:D229, -1, "P")-TT_COUNT(D$2:D229, -1, "F")-TT_COUNT(D$2:D229, -1, "I")-TT_COUNT(D$2:D229, -1, "B")-TT_COUNT(D$2:D229, -1, "NA")</f>
        <v>92</v>
      </c>
      <c r="E232" s="206">
        <f>E231-TT_COUNT(E$2:E229, -1, "P")-TT_COUNT(E$2:E229, -1, "F")-TT_COUNT(E$2:E229, -1, "I")-TT_COUNT(E$2:E229, -1, "B")-TT_COUNT(E$2:E229, -1, "NA")</f>
        <v>92</v>
      </c>
      <c r="F232" s="293"/>
      <c r="G232" s="206">
        <f>G231-TT_COUNT(G$2:G229, -1, "P")-TT_COUNT(G$2:G229, -1, "F")-TT_COUNT(G$2:G229, -1, "I")-TT_COUNT(G$2:G229, -1, "B")-TT_COUNT(G$2:G229, -1, "NA")</f>
        <v>16</v>
      </c>
      <c r="H232" s="293"/>
      <c r="J232" s="337">
        <f>SUM($D232:H232)-D232</f>
        <v>108</v>
      </c>
      <c r="K232" s="338"/>
    </row>
    <row r="233" spans="3:12">
      <c r="C233" s="207"/>
    </row>
    <row r="234" spans="3:12">
      <c r="C234" s="208" t="s">
        <v>89</v>
      </c>
      <c r="D234" s="209" t="str">
        <f>TT_COUNT(D$2:D229, -1, "P", D231)</f>
        <v>0 (0.0%)</v>
      </c>
      <c r="E234" s="206" t="str">
        <f>TT_COUNT(E$2:E229, -1, "P", E231)</f>
        <v>0 (0.0%)</v>
      </c>
      <c r="F234" s="210"/>
      <c r="G234" s="206" t="str">
        <f>TT_COUNT(G$2:G229, -1, "P", G231)</f>
        <v>35 (38.0%)</v>
      </c>
      <c r="H234" s="210"/>
      <c r="J234" s="211">
        <f t="array" ref="J234">SUM(INT(IF(LEN($D234:H234)&gt;1,LEFT($D234:H234,FIND("(",$D234:H234)-1),0)))-IF(LEN($D234)&gt;1,LEFT($D234,FIND("(",$D234)-1),0)</f>
        <v>35</v>
      </c>
      <c r="K234" s="212">
        <f>IF(J231&gt;0, J234/J231,0)</f>
        <v>0.19021739130434784</v>
      </c>
    </row>
    <row r="235" spans="3:12">
      <c r="C235" s="213" t="s">
        <v>90</v>
      </c>
      <c r="D235" s="214" t="str">
        <f>TT_COUNT(D$2:D229, -1, "F", D231)</f>
        <v>0 (0.0%)</v>
      </c>
      <c r="E235" s="214" t="str">
        <f>TT_COUNT(E$2:E229, -1, "F", E231)</f>
        <v>0 (0.0%)</v>
      </c>
      <c r="F235" s="210"/>
      <c r="G235" s="214" t="str">
        <f>TT_COUNT(G$2:G229, -1, "F", G231)</f>
        <v>7 (7.6%)</v>
      </c>
      <c r="H235" s="210"/>
      <c r="J235" s="215">
        <f t="array" ref="J235">SUM(INT(IF(LEN($D235:H235)&gt;1,LEFT($D235:H235,FIND("(",$D235:H235)-1),0)))-IF(LEN($D235)&gt;1,LEFT($D235,FIND("(",$D235)-1),0)</f>
        <v>7</v>
      </c>
      <c r="K235" s="216">
        <f>IF(J231&gt;0, J235/J231,0)</f>
        <v>3.8043478260869568E-2</v>
      </c>
    </row>
    <row r="236" spans="3:12">
      <c r="C236" s="217" t="s">
        <v>91</v>
      </c>
      <c r="D236" s="206" t="str">
        <f>TT_COUNT(D$2:D229, -1, "I", D231)</f>
        <v>0 (0.0%)</v>
      </c>
      <c r="E236" s="206" t="str">
        <f>TT_COUNT(E$2:E229, -1, "I", E231)</f>
        <v>0 (0.0%)</v>
      </c>
      <c r="F236" s="210"/>
      <c r="G236" s="206" t="str">
        <f>TT_COUNT(G$2:G229, -1, "I", G231)</f>
        <v>0 (0.0%)</v>
      </c>
      <c r="H236" s="210"/>
      <c r="J236" s="211">
        <f t="array" ref="J236">SUM(INT(IF(LEN($D236:H236)&gt;1,LEFT($D236:H236,FIND("(",$D236:H236)-1),0)))-IF(LEN($D236)&gt;1,LEFT($D236,FIND("(",$D236)-1),0)</f>
        <v>0</v>
      </c>
      <c r="K236" s="212">
        <f>IF(J231&gt;0, J236/J231,0)</f>
        <v>0</v>
      </c>
    </row>
    <row r="237" spans="3:12">
      <c r="C237" s="218" t="s">
        <v>92</v>
      </c>
      <c r="D237" s="206" t="str">
        <f>TT_COUNT(D$2:D229, -1, "B", D231)</f>
        <v>0 (0.0%)</v>
      </c>
      <c r="E237" s="206" t="str">
        <f>TT_COUNT(E$2:E229, -1, "B", E231)</f>
        <v>0 (0.0%)</v>
      </c>
      <c r="F237" s="210"/>
      <c r="G237" s="206" t="str">
        <f>TT_COUNT(G$2:G229, -1, "B", G231)</f>
        <v>1 (1.1%)</v>
      </c>
      <c r="H237" s="210"/>
      <c r="J237" s="211">
        <f t="array" ref="J237">SUM(INT(IF(LEN($D237:H237)&gt;1,LEFT($D237:H237,FIND("(",$D237:H237)-1),0)))-IF(LEN($D237)&gt;1,LEFT($D237,FIND("(",$D237)-1),0)</f>
        <v>1</v>
      </c>
      <c r="K237" s="212">
        <f>IF(J231&gt;0, J237/J231,0)</f>
        <v>5.434782608695652E-3</v>
      </c>
    </row>
    <row r="238" spans="3:12">
      <c r="C238" s="219" t="s">
        <v>95</v>
      </c>
      <c r="D238" s="206" t="str">
        <f>TT_COUNT(D$2:D229, -1, "NA", D231)</f>
        <v>0 (0.0%)</v>
      </c>
      <c r="E238" s="206" t="str">
        <f>TT_COUNT(E$2:E229, -1, "NA", E231)</f>
        <v>0 (0.0%)</v>
      </c>
      <c r="F238" s="210"/>
      <c r="G238" s="206" t="str">
        <f>TT_COUNT(G$2:G229, -1, "NA", G231)</f>
        <v>33 (35.9%)</v>
      </c>
      <c r="H238" s="210"/>
      <c r="J238" s="211">
        <f t="array" ref="J238">SUM(INT(IF(LEN($D238:H238)&gt;1,LEFT($D238:H238,FIND("(",$D238:H238)-1),0)))-IF(LEN($D238)&gt;1,LEFT($D238,FIND("(",$D238)-1),0)</f>
        <v>33</v>
      </c>
      <c r="K238" s="212">
        <f>IF(J231&gt;0, J238/J231,0)</f>
        <v>0.17934782608695651</v>
      </c>
    </row>
    <row r="239" spans="3:12">
      <c r="C239" s="207"/>
      <c r="D239" s="220"/>
      <c r="E239" s="220"/>
      <c r="G239" s="220"/>
    </row>
    <row r="240" spans="3:12">
      <c r="C240" s="221" t="s">
        <v>93</v>
      </c>
      <c r="D240" s="206" t="str">
        <f>TT_COUNT(D$2:D229, -1, "NP", D230)</f>
        <v>0 (0.0%)</v>
      </c>
      <c r="E240" s="206" t="str">
        <f>TT_COUNT(E$2:E229, -1, "NP", E230)</f>
        <v>0 (0.0%)</v>
      </c>
      <c r="F240" s="293"/>
      <c r="G240" s="206" t="str">
        <f>TT_COUNT(G$2:G229, -1, "NP", G230)</f>
        <v>0 (0.0%)</v>
      </c>
      <c r="H240" s="293"/>
      <c r="J240" s="211">
        <f t="array" ref="J240">SUM(INT(IF(LEN($D240:H240)&gt;1,LEFT($D240:H240,FIND("(",$D240:H240)-1),0)))-IF(LEN($D240)&gt;1,LEFT($D240,FIND("(",$D240)-1),0)</f>
        <v>0</v>
      </c>
      <c r="K240" s="212">
        <f>IF(J230&gt;0, J240/J230,0)</f>
        <v>0</v>
      </c>
    </row>
    <row r="241" spans="3:11">
      <c r="C241" s="222" t="s">
        <v>94</v>
      </c>
      <c r="D241" s="206" t="str">
        <f>TT_COUNT(D$2:D229, -1, "NS", D230)</f>
        <v>0 (0.0%)</v>
      </c>
      <c r="E241" s="206" t="str">
        <f>TT_COUNT(E$2:E229, -1, "NS", E230)</f>
        <v>0 (0.0%)</v>
      </c>
      <c r="F241" s="293"/>
      <c r="G241" s="206" t="str">
        <f>TT_COUNT(G$2:G229, -1, "NS", G230)</f>
        <v>0 (0.0%)</v>
      </c>
      <c r="H241" s="293"/>
      <c r="J241" s="211">
        <f t="array" ref="J241">SUM(INT(IF(LEN($D241:H241)&gt;1,LEFT($D241:H241,FIND("(",$D241:H241)-1),0)))-IF(LEN($D241)&gt;1,LEFT($D241,FIND("(",$D241)-1),0)</f>
        <v>0</v>
      </c>
      <c r="K241" s="212">
        <f>IF(J230&gt;0, J241/J230,0)</f>
        <v>0</v>
      </c>
    </row>
  </sheetData>
  <sheetProtection password="CF6D" sheet="1" objects="1" scenarios="1"/>
  <dataConsolidate/>
  <mergeCells count="92">
    <mergeCell ref="E183:F183"/>
    <mergeCell ref="E197:F197"/>
    <mergeCell ref="E206:F206"/>
    <mergeCell ref="E120:F120"/>
    <mergeCell ref="E147:F147"/>
    <mergeCell ref="E155:F155"/>
    <mergeCell ref="E163:F163"/>
    <mergeCell ref="E171:F171"/>
    <mergeCell ref="E42:F42"/>
    <mergeCell ref="E55:F55"/>
    <mergeCell ref="E74:F74"/>
    <mergeCell ref="E90:F90"/>
    <mergeCell ref="E101:F101"/>
    <mergeCell ref="E29:F29"/>
    <mergeCell ref="E30:F30"/>
    <mergeCell ref="E31:F31"/>
    <mergeCell ref="E32:F32"/>
    <mergeCell ref="E33:F33"/>
    <mergeCell ref="E24:F24"/>
    <mergeCell ref="E25:F25"/>
    <mergeCell ref="E26:F26"/>
    <mergeCell ref="E27:F27"/>
    <mergeCell ref="E28:F28"/>
    <mergeCell ref="E19:F19"/>
    <mergeCell ref="E20:F20"/>
    <mergeCell ref="E21:F21"/>
    <mergeCell ref="E22:F22"/>
    <mergeCell ref="E23:F23"/>
    <mergeCell ref="E14:F14"/>
    <mergeCell ref="E15:F15"/>
    <mergeCell ref="E16:F16"/>
    <mergeCell ref="E17:F17"/>
    <mergeCell ref="E18:F18"/>
    <mergeCell ref="E9:F9"/>
    <mergeCell ref="E10:F10"/>
    <mergeCell ref="E11:F11"/>
    <mergeCell ref="E12:F12"/>
    <mergeCell ref="E13:F13"/>
    <mergeCell ref="E3:F3"/>
    <mergeCell ref="E4:F4"/>
    <mergeCell ref="E5:F5"/>
    <mergeCell ref="E7:F7"/>
    <mergeCell ref="E8:F8"/>
    <mergeCell ref="G15:H15"/>
    <mergeCell ref="G16:H16"/>
    <mergeCell ref="G17:H17"/>
    <mergeCell ref="G9:H9"/>
    <mergeCell ref="G3:H3"/>
    <mergeCell ref="G4:H4"/>
    <mergeCell ref="G5:H5"/>
    <mergeCell ref="G7:H7"/>
    <mergeCell ref="G8:H8"/>
    <mergeCell ref="G10:H10"/>
    <mergeCell ref="G11:H11"/>
    <mergeCell ref="G12:H12"/>
    <mergeCell ref="G13:H13"/>
    <mergeCell ref="G14:H14"/>
    <mergeCell ref="I17:J17"/>
    <mergeCell ref="G18:H18"/>
    <mergeCell ref="I18:J18"/>
    <mergeCell ref="G31:H31"/>
    <mergeCell ref="G20:H20"/>
    <mergeCell ref="G21:H21"/>
    <mergeCell ref="G22:H22"/>
    <mergeCell ref="G23:H23"/>
    <mergeCell ref="G24:H24"/>
    <mergeCell ref="G25:H25"/>
    <mergeCell ref="G26:H26"/>
    <mergeCell ref="G27:H27"/>
    <mergeCell ref="G28:H28"/>
    <mergeCell ref="G29:H29"/>
    <mergeCell ref="G30:H30"/>
    <mergeCell ref="G19:H19"/>
    <mergeCell ref="G171:H171"/>
    <mergeCell ref="G32:H32"/>
    <mergeCell ref="G33:H33"/>
    <mergeCell ref="G42:H42"/>
    <mergeCell ref="G55:H55"/>
    <mergeCell ref="G74:H74"/>
    <mergeCell ref="G90:H90"/>
    <mergeCell ref="G101:H101"/>
    <mergeCell ref="G120:H120"/>
    <mergeCell ref="G147:H147"/>
    <mergeCell ref="G155:H155"/>
    <mergeCell ref="G163:H163"/>
    <mergeCell ref="J232:K232"/>
    <mergeCell ref="G183:H183"/>
    <mergeCell ref="G197:H197"/>
    <mergeCell ref="G206:H206"/>
    <mergeCell ref="J229:K229"/>
    <mergeCell ref="J230:K230"/>
    <mergeCell ref="J231:K231"/>
  </mergeCells>
  <phoneticPr fontId="37" type="noConversion"/>
  <dataValidations count="32">
    <dataValidation type="list" allowBlank="1" showInputMessage="1" showErrorMessage="1" errorTitle="Selection Required" error="Please select one of the entries from the list." sqref="H206 H42 H171 H155 H147 H163 H120 H101 H90 H74 H183 H197 H55 F206 F42 F171 F155 F147 F163 F120 F101 F90 F74 F183 F197 F55">
      <formula1>CFG_32Bit_Os</formula1>
    </dataValidation>
    <dataValidation type="list" allowBlank="1" showInputMessage="1" showErrorMessage="1" errorTitle="Selection Required" error="Please select one of the entries from the list." sqref="G206 G42 G171 G155 G147 G163 G120 G101 G90 G74 G183 G197 G55 E206 E42 E171 E155 E147 E163 E120 E101 E90 E74 E183 E197 E55">
      <formula1>CFG_Environment</formula1>
    </dataValidation>
    <dataValidation type="list" allowBlank="1" showInputMessage="1" errorTitle="Selection Required" error="Please select one of the entries from the list." prompt="Enter additional items as needed" sqref="E25:H25">
      <formula1>CFG_Camera_</formula1>
    </dataValidation>
    <dataValidation type="list" allowBlank="1" showInputMessage="1" errorTitle="Selection Required" error="Please select one of the entries from the list." prompt="Enter additional items as needed" sqref="E27:H27">
      <formula1>CFG_Unit_Upgrade_Bay_Device_</formula1>
    </dataValidation>
    <dataValidation type="list" allowBlank="1" showInputMessage="1" showErrorMessage="1" errorTitle="Selection Required" error="Please select one of the entries from the list." sqref="E11:H11">
      <formula1>CFG_Video_Architecture</formula1>
    </dataValidation>
    <dataValidation type="list" allowBlank="1" showInputMessage="1" showErrorMessage="1" errorTitle="Selection Required" error="Please select one of the entries from the list." sqref="E12:H12">
      <formula1>CFG_Graphics</formula1>
    </dataValidation>
    <dataValidation type="list" allowBlank="1" showInputMessage="1" errorTitle="Selection Required" error="Please select one of the entries from the list." sqref="G7 E7">
      <formula1>CFG_UserLabel_</formula1>
    </dataValidation>
    <dataValidation type="list" allowBlank="1" showInputMessage="1" errorTitle="Selection Required" error="Please select one of the entries from the list." prompt="Enter additional items as needed" sqref="G8 E8">
      <formula1>CFG_Unit_Id_</formula1>
    </dataValidation>
    <dataValidation type="list" allowBlank="1" showInputMessage="1" showErrorMessage="1" errorTitle="Selection Required" error="Please select one of the entries from the list." sqref="G9 E9">
      <formula1>CFG_System_Board</formula1>
    </dataValidation>
    <dataValidation type="list" allowBlank="1" showInputMessage="1" errorTitle="Selection Required" error="Please select one of the entries from the list." prompt="Enter additional items as needed" sqref="G10 E10">
      <formula1>CFG_Processor_</formula1>
    </dataValidation>
    <dataValidation type="list" allowBlank="1" showInputMessage="1" showErrorMessage="1" errorTitle="Selection Required" error="Please select one of the entries from the list." sqref="G13 E13">
      <formula1>CFG_Vram</formula1>
    </dataValidation>
    <dataValidation type="list" allowBlank="1" showInputMessage="1" errorTitle="Selection Required" error="Please select one of the entries from the list." prompt="Enter additional items as needed" sqref="G14 E14">
      <formula1>CFG_Display_Panel_</formula1>
    </dataValidation>
    <dataValidation type="list" allowBlank="1" showInputMessage="1" errorTitle="Selection Required" error="Please select one of the entries from the list." prompt="Enter additional items as needed" sqref="G15 E15">
      <formula1>CFG_Memory_Slot_1_</formula1>
    </dataValidation>
    <dataValidation type="list" allowBlank="1" showInputMessage="1" errorTitle="Selection Required" error="Please select one of the entries from the list." prompt="Enter additional items as needed" sqref="G16 E16">
      <formula1>CFG_Memory_Slot_2_</formula1>
    </dataValidation>
    <dataValidation type="list" allowBlank="1" showInputMessage="1" errorTitle="Selection Required" error="Please select one of the entries from the list." prompt="Enter additional items as needed" sqref="G17 I17 E17">
      <formula1>CFG_Memory_Slot_3_</formula1>
    </dataValidation>
    <dataValidation type="list" allowBlank="1" showInputMessage="1" errorTitle="Selection Required" error="Please select one of the entries from the list." prompt="Enter additional items as needed" sqref="G18 I18 E18">
      <formula1>CFG_Memory_Slot_4_</formula1>
    </dataValidation>
    <dataValidation type="list" allowBlank="1" showInputMessage="1" errorTitle="Selection Required" error="Please select one of the entries from the list." prompt="Enter additional items as needed" sqref="G19 E19">
      <formula1>CFG_Hard_Drive_</formula1>
    </dataValidation>
    <dataValidation type="list" allowBlank="1" showInputMessage="1" showErrorMessage="1" errorTitle="Selection Required" error="Please select one of the entries from the list." sqref="G20 E20">
      <formula1>CFG_Bluetooth_Module</formula1>
    </dataValidation>
    <dataValidation type="list" allowBlank="1" showInputMessage="1" errorTitle="Selection Required" error="Please select one of the entries from the list." prompt="Enter additional items as needed" sqref="G21 E21">
      <formula1>CFG_Wireless_Lan_</formula1>
    </dataValidation>
    <dataValidation type="list" allowBlank="1" showInputMessage="1" errorTitle="Selection Required" error="Please select one of the entries from the list." prompt="Enter additional items as needed" sqref="G22 E22">
      <formula1>CFG_Wireless_Wan_</formula1>
    </dataValidation>
    <dataValidation type="list" allowBlank="1" showInputMessage="1" showErrorMessage="1" errorTitle="Selection Required" error="Please select one of the entries from the list." sqref="G23 E23">
      <formula1>CFG_Wired_Nic</formula1>
    </dataValidation>
    <dataValidation type="list" allowBlank="1" showInputMessage="1" showErrorMessage="1" errorTitle="Selection Required" error="Please select one of the entries from the list." sqref="G24 E24">
      <formula1>CFG_Modem</formula1>
    </dataValidation>
    <dataValidation type="list" allowBlank="1" showInputMessage="1" showErrorMessage="1" errorTitle="Selection Required" error="Please select one of the entries from the list." sqref="G26 E26">
      <formula1>CFG_Fingerprint_Reader</formula1>
    </dataValidation>
    <dataValidation type="list" allowBlank="1" showInputMessage="1" errorTitle="Selection Required" error="Please select one of the entries from the list." prompt="Enter additional items as needed" sqref="G28 E28">
      <formula1>CFG_Dock_Type_</formula1>
    </dataValidation>
    <dataValidation type="list" allowBlank="1" showInputMessage="1" errorTitle="Selection Required" error="Please select one of the entries from the list." prompt="Enter additional items as needed" sqref="G29 E29">
      <formula1>CFG_Dock_Bay_Device_</formula1>
    </dataValidation>
    <dataValidation type="list" allowBlank="1" showInputMessage="1" showErrorMessage="1" errorTitle="Selection Required" error="Please select one of the entries from the list." sqref="G30 E30">
      <formula1>CFG_Touchpad_Pointstick_Combo</formula1>
    </dataValidation>
    <dataValidation type="list" allowBlank="1" showInputMessage="1" showErrorMessage="1" errorTitle="Selection Required" error="Please select one of the entries from the list." sqref="G31 E31">
      <formula1>CFG_Keyboard</formula1>
    </dataValidation>
    <dataValidation type="list" allowBlank="1" showInputMessage="1" errorTitle="Selection Required" error="Please select one of the entries from the list." prompt="Enter additional items as needed" sqref="G32 E32">
      <formula1>CFG_Unit_Battery_</formula1>
    </dataValidation>
    <dataValidation type="list" allowBlank="1" showInputMessage="1" errorTitle="Selection Required" error="Please select one of the entries from the list." prompt="Enter additional items as needed" sqref="G33 E33">
      <formula1>CFG_Travel_Battery_</formula1>
    </dataValidation>
    <dataValidation type="list" allowBlank="1" showInputMessage="1" errorTitle="Selection Required" error="Please select one of the entries from the list." prompt="Enter additional items as needed" sqref="G3 E3">
      <formula1>CFG_System_Bios_</formula1>
    </dataValidation>
    <dataValidation type="list" allowBlank="1" showInputMessage="1" errorTitle="Selection Required" error="Please select one of the entries from the list." prompt="Enter additional items as needed" sqref="G4 E4">
      <formula1>CFG_Kbc_</formula1>
    </dataValidation>
    <dataValidation type="list" allowBlank="1" showInputMessage="1" errorTitle="Selection Required" error="Please select one of the entries from the list." prompt="Enter additional items as needed" sqref="G5 E5">
      <formula1>CFG_Me_Version_</formula1>
    </dataValidation>
  </dataValidations>
  <hyperlinks>
    <hyperlink ref="C148" r:id="rId1" location="DOS_TOOL_EMM386_BOOT" display="BIOS DTI"/>
    <hyperlink ref="C172" r:id="rId2" location="W2K_XP_4_SEC_POW_OFF_ON" display="BIOS DTI"/>
    <hyperlink ref="C224" r:id="rId3" location="TCE_PROD_INFO_FAIL" display="BIOS DTI"/>
    <hyperlink ref="C44" r:id="rId4" location="HPQFL_NO_EFI_PARTITION" display="BIOS DTI"/>
    <hyperlink ref="C43" r:id="rId5" location="HPQFL_W_EFI_PARTITION" display="BIOS DTI"/>
    <hyperlink ref="C57" r:id="rId6" location="OLE_LINK232_x0009_1,736783,736839,3,,KBC - Keyboard Scan Code check v" display="KBC - Keyboard Scan Code check via WinPVT (Orbitz only)"/>
    <hyperlink ref="C58" r:id="rId7" location="W2K_XP_KBC_HOTKEY_BEZEL" display="BIOS DTI"/>
    <hyperlink ref="C59" r:id="rId8" location="SUP_OS_WMI_BIOS_CONFIG_IMP" display="BIOS DTI"/>
    <hyperlink ref="C75" r:id="rId9" location="SUP_OS_HP_WMI_IFACE_WINPVT" display="BIOS DTI"/>
    <hyperlink ref="C76" r:id="rId10" location="ACC_BIOS_USER_MGT_WINPVT" display="BIOS DTI"/>
    <hyperlink ref="C77" r:id="rId11" location="ACC_BIOS_SPECS_WINPVT" display="BIOS TEST PLAN.doc - ACC_BIOS_SPECS_WINPVT"/>
    <hyperlink ref="C91" r:id="rId12" location="SUP_OS_WINPVT_INT" display="BIOS DTI"/>
    <hyperlink ref="C92" r:id="rId13" location="SUP_OS_SMBIOS_FLASH_COMPARE" display="BIOS DTI"/>
    <hyperlink ref="C173" r:id="rId14" location="WIN7_POWERCFG_ENERGY" display="BIOS DTI"/>
    <hyperlink ref="C190" r:id="rId15" location="CRITICAL_TEMP_TO_S4_S5" display="BIOS DTI"/>
    <hyperlink ref="C207" r:id="rId16" location="F10_FASTBOOT" display="BIOS DTI"/>
    <hyperlink ref="C65" r:id="rId17" location="FOUR_KEYS_NMI" display="BIOS DTI"/>
    <hyperlink ref="C63" r:id="rId18" location="FOUR_KEYS_SPI" display="BIOS DTI"/>
    <hyperlink ref="C64" r:id="rId19" location="FOUR_KEYS_SMC" display="BIOS DTI"/>
    <hyperlink ref="C184" r:id="rId20" location="SUP_OS_PRO_C3_VERIF" display="BIOS Test Plan.doc - SUP_OS_PRO_C3_VERIF"/>
    <hyperlink ref="C93" r:id="rId21" location="SUP_OS_SMBIOS_DATA_VERIF" display="BIOS Test Plan.doc - SUP_OS_SMBIOS_DATA_VERIF"/>
    <hyperlink ref="C149" r:id="rId22" location="SYSTEM_MEMORY_MAP" display="BIOS DTI"/>
    <hyperlink ref="C198" r:id="rId23" location="ENABLE_DISABLE_FACTORYMODE" display="BIOS DTI"/>
    <hyperlink ref="C156" r:id="rId24" location="EFI_BIOSCHECK" display="BIOS Test Plan.doc - EFI_BIOSCHECK"/>
    <hyperlink ref="C174" r:id="rId25" location="SUPPORTED_WAKE_UP_SOURCES" display="BIOS Test Plan.doc - SUPPORTED_WAKE_UP_SOURCES"/>
    <hyperlink ref="C185" r:id="rId26" location="P_STATES_FUNCTIONAL" display="BIOS DTI"/>
    <hyperlink ref="C186" r:id="rId27" location="SUP_OS_INTEL_TURBO" display="BIOS DTI"/>
    <hyperlink ref="C94" r:id="rId28" location="SUP_OS_PNP_ID_VERIF" display="BIOS DTI"/>
    <hyperlink ref="C66" r:id="rId29" location="FUNCTIONAL_TOUCH_SCREEN_SUPPORT" display="BIOS Test Plan.doc - FUNCTIONAL_TOUCH_SCREEN_SUPPORT"/>
    <hyperlink ref="C67" r:id="rId30" location="BATTERY_CHARGE_SUPPORT" display="BIOS Test Plan.doc - BATTERY_CHARGE_SUPPORT"/>
    <hyperlink ref="C78" r:id="rId31" location="HP_WMI_ACCEPTANCE" display="BIOS DTI"/>
    <hyperlink ref="C211" r:id="rId32" location="ACCELEROMETER_TEST" display="BIOS Test Plan.doc - ACCELEROMETER_TEST"/>
    <hyperlink ref="C81" r:id="rId33" location="THERMAL_DIAGNOSTIC_COMMAND" display="BIOS DTI"/>
    <hyperlink ref="C210" r:id="rId34" location="D3E_JMICRON" display="BIOS DTI"/>
    <hyperlink ref="C61" r:id="rId35" location="ALL_OS_AUTO_BRIGHT_ACDC" display="BIOS DTI"/>
    <hyperlink ref="C122" r:id="rId36" location="PORTS_DEVICES_FUNCTIONAL_SERIAL" display="BIOS DTI"/>
    <hyperlink ref="C123" r:id="rId37" location="PORTS_DEVICES_FUNCTIONAL_USB20" display="BIOS DTI"/>
    <hyperlink ref="C124" r:id="rId38" location="PORTS_DEVICES_FUNCTIONAL_USB30" display="BIOS DTI"/>
    <hyperlink ref="C127" r:id="rId39" location="PORTS_DEVICES_FUNCTIONAL_FLASH_READER" display="BIOS Test Plan.doc - PORTS_DEVICES_FUNCTIONAL_FLASH_READER"/>
    <hyperlink ref="C128" r:id="rId40" location="PORTS_DEVICES_FUNCTIONAL_PCI_EXPRESS" display="BIOS DTI"/>
    <hyperlink ref="C129" r:id="rId41" location="PORTS_DEVICES_FUNCTIONAL_ESATA" display="BIOS DTI"/>
    <hyperlink ref="C131" r:id="rId42" location="PORTS_DEVICES_FUNCTIONAL_DP_HDMI" display="BIOS DTI"/>
    <hyperlink ref="C134" r:id="rId43" location="PORTS_DEVICES_FUNCTIONAL_WLAN" display="BIOS Test Plan.doc - PORTS_DEVICES_FUNCTIONAL_WLAN"/>
    <hyperlink ref="C62" r:id="rId44" location="FUNCTIONAL_LID_SUPPORT" display="BIOS Test Plan.doc - FUNCTIONAL_LID_SUPPORT"/>
    <hyperlink ref="C130" r:id="rId45" location="PORTS_DEVICES_FUNCTIONAL_VGA" display="BIOS DTI"/>
    <hyperlink ref="C126" r:id="rId46" location="PORTS_DEVICES_FUNCTIONAL_1394" display="BIOS DTI"/>
    <hyperlink ref="C136" r:id="rId47" location="PORTS_DEVICES_FUNCTIONAL_NIC" display="BIOS DTI"/>
    <hyperlink ref="C137" r:id="rId48" location="PORTS_DEVICES_FUNCTIONAL_UPGRADEBAY" display="BIOS Test Plan.doc - PORTS_DEVICES_FUNCTIONAL_UPGRADEBAY"/>
    <hyperlink ref="C138" r:id="rId49" location="PORTS_DEVICES_FUNCTIONAL_MODEM" display="BIOS DTI"/>
    <hyperlink ref="C139" r:id="rId50" location="PORTS_DEVICES_FUNCTIONAL_AUDIO" display="BIOS DTI"/>
    <hyperlink ref="C102" r:id="rId51" location="F10_SANITIY_CHECK" display="BIOS DTI"/>
    <hyperlink ref="C82" r:id="rId52" location="WMI_BATT_CHARGE_CONTROL" display="BIOS Test Plan.doc - WMI_BATT_CHARGE_CONTROL"/>
    <hyperlink ref="C80" r:id="rId53" location="WWAN_SIM_WO_BATT" display="BIOS TEST PLAN.doc - WWAN_SIM_WO_BATT"/>
    <hyperlink ref="C208" r:id="rId54" location="AUTOSCREEN_ROTATION" display="BIOS Test Plan.doc - AUTOSCREEN_ROTATION"/>
    <hyperlink ref="C188" r:id="rId55" location="AMD_TURBO" display="BIOS DTI"/>
    <hyperlink ref="C45" r:id="rId56" location="AUTO_CRISIS_RECOVERY_F2X_B9X" display="BIOS DTI"/>
    <hyperlink ref="C46" r:id="rId57" location="BIOS_CORRUPTION_PREVENTION" display="BIOS DTI"/>
    <hyperlink ref="C47" r:id="rId58" location="PENDING_BOOTBLOCK_PREVENTION" display="BIOS DTI"/>
    <hyperlink ref="C212" r:id="rId59" location="INITIAL_ACCELEROMETER_LED" display="BIOS DTI"/>
    <hyperlink ref="C199" r:id="rId60" location="MPM_BY_SMC" display="BIOS DTI"/>
    <hyperlink ref="C125" r:id="rId61" location="PORTS_DEVICES_FUNCTIONAL_USB30_PERFORMAN" display="BIOS DTI"/>
    <hyperlink ref="C48" r:id="rId62" location="FLASH_BIOS_FROM_F10" display="BIOS DTI"/>
    <hyperlink ref="C135" r:id="rId63" location="PORTS_DEVICES_FUNCTIONAL_QUICKCONNECT" display="BIOS DTI"/>
    <hyperlink ref="C60" r:id="rId64" location="DEEP_SLEEP_FUNCTIONAL_WINPVT" display="BIOS Test Plan.doc - DEEP_SLEEP_FUNCTIONAL_WINPVT"/>
    <hyperlink ref="C79" r:id="rId65" location="WMI_WSD" display="BIOS TEST PLAN.doc - WMI_WSD"/>
    <hyperlink ref="C213" r:id="rId66" location="F10_CTRL_I" display="BIOS DTI"/>
    <hyperlink ref="C164" r:id="rId67" location="GPIO_SSID" display="BIOS Test Plan.doc - GPIO_SSID"/>
    <hyperlink ref="C189" r:id="rId68" location="AMD_NB_STATE" display="BIOS DTI"/>
    <hyperlink ref="C225" r:id="rId69" location="TCE_DDR3_Memory_Check" display="BIOS Test Plan.doc - TCE_DDR3_Memory_Check"/>
    <hyperlink ref="C209" r:id="rId70" location="UEFI_Variables" display="BIOS DTI"/>
    <hyperlink ref="C111" r:id="rId71" location="F10_Video_Memory_Size" display="BIOS DTI"/>
    <hyperlink ref="C110" r:id="rId72" location="Feature_Byte_Build_ID" display="BIOS Test Plan.doc - Feature_Byte_Build_ID"/>
    <hyperlink ref="C105" r:id="rId73" location="FUNC_Hybrid_GRAPHICS_2013_w_Nvidia" display="BIOS Test Plan.doc - FUNC_Hybrid_GRAPHICS_2013_w_Nvidia"/>
    <hyperlink ref="C83" r:id="rId74" location="Wireless_Manageability_BCU" display="BIOS Test Plan.doc - Wireless_Manageability_BCU"/>
    <hyperlink ref="C108" r:id="rId75" location="OLE_LINK170_x0009_1,626227,626265,3,,Acceptance – Enhanced Display Fe" display="Acceptance – Enhanced Display Feature"/>
    <hyperlink ref="C132" r:id="rId76" location="PORTS_DEVICES_FUNCTIONAL_Thunderbolt" display="BIOS Test Plan.doc - PORTS_DEVICES_FUNCTIONAL_Thunderbolt"/>
    <hyperlink ref="C140" r:id="rId77" location="BUILT_IN_DEVICES_NFC" display="BIOS Test Plan.doc - BUILT_IN_DEVICES_NFC"/>
    <hyperlink ref="C106" r:id="rId78" location="FUNC_Hybrid_GRAPHICS_2013_BPW14" display="BIOS Test Plan.doc - FUNC_Hybrid_GRAPHICS_2013_BPW14"/>
    <hyperlink ref="C107" r:id="rId79" location="FUNC_Hybrid_GRAPHICS_2013_RRR" display="BIOS Test Plan.doc - FUNC_Hybrid_GRAPHICS_2013_RRR"/>
    <hyperlink ref="C214" r:id="rId80" location="ACC_AMD_Hybrid_Boost" display="BIOS Test Plan.doc - ACC_AMD_Hybrid_Boost"/>
    <hyperlink ref="C215" r:id="rId81" location="ACC_INTEL_PO" display="BIOS Test Plan.doc - ACC_INTEL_PO"/>
    <hyperlink ref="C216" r:id="rId82" location="ACC_ISCT" display="BIOS DTI"/>
    <hyperlink ref="C217" r:id="rId83" location="ACC_TBT" display="BIOS Test Plan.doc - ACC_TBT"/>
    <hyperlink ref="C103" r:id="rId84" location="OLE_LINK34_x0009_1,460568,460603,3,,ACCEPTANCE - F1 System Informati" display="ACCEPTANCE - F1 System Information"/>
    <hyperlink ref="C104" r:id="rId85" location="FUNC_SWITCHABLE_GRAPHICS_2013_S_Refresh_x0009_1,622449,622547,3,,ACCEPTANCE – Switchable Graphics" display="ACCEPTANCE – Switchable Graphics Support (2013 s series - Fiji/Flores/Fraser and Python/Predator)"/>
    <hyperlink ref="C175" r:id="rId86" location="ACC_ZPODD" display="BIOS Test Plan.doc - ACC_ZPODD"/>
    <hyperlink ref="C176" r:id="rId87" location="ACC_RELTEK_RTD3" display="BIOS Test Plan.doc - ACC_RELTEK_RTD3"/>
    <hyperlink ref="C218" r:id="rId88" location="OLE_LINK99_x0009_1,683467,683543,3,,ACCEPTANCE – Disable LID switch " display="ACCEPTANCE – Disable LID switch support (BCR # 112346 for IEC factory only)"/>
    <hyperlink ref="C187" r:id="rId89" location="OLE_LINK113_x0009_1,461922,461972,3,,F10 – Turbo Boost support while " display="F10 – Turbo Boost support while on DC (BCR 117200)"/>
    <hyperlink ref="C112" r:id="rId90" location="F10_BOOT_mSATA" display="BIOS DTI"/>
    <hyperlink ref="C113" r:id="rId91" location="PORTS_DEVICES_FUNCTIONAL_SC_POWER_SAV_x0009_1,216286,216347,3,,ACCEPTANCE – Smart Card Power Sa" display="ACCEPTANCE – Smart Card Power Savings Mode (Enable/Disable)"/>
    <hyperlink ref="C109" r:id="rId92" location="INTEL_NIST_BIOS_CONTROL_REG_x0009_1,637740,637851,3,,ACCEPTANCE – Disable and Remove " display="ACCEPTANCE – Disable and Remove the Optimums hybrid graphics feature from F10 with BCU tool (for BCR# 118885.)"/>
    <hyperlink ref="C56" r:id="rId93" location="SUP_OS_KEYBOARD_SCAN_CODE" display="BIOS DTI"/>
  </hyperlinks>
  <pageMargins left="0.25" right="0.25" top="0.5" bottom="0.75" header="0.25" footer="0.25"/>
  <pageSetup scale="94" fitToHeight="100" orientation="landscape" r:id="rId94"/>
  <headerFooter alignWithMargins="0">
    <oddHeader>&amp;L&amp;8&amp;A&amp;R&amp;8&amp;F</oddHeader>
    <oddFooter>&amp;C&amp;"Arial,Bold"- HP CONFIDENTIAL -&amp;R&amp;8Page &amp;P of &amp;N</oddFooter>
  </headerFooter>
  <legacyDrawing r:id="rId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2">
    <outlinePr summaryBelow="0" summaryRight="0"/>
    <pageSetUpPr autoPageBreaks="0" fitToPage="1"/>
  </sheetPr>
  <dimension ref="A1:K114"/>
  <sheetViews>
    <sheetView showGridLines="0" zoomScaleNormal="100" workbookViewId="0">
      <pane xSplit="3" ySplit="7" topLeftCell="D50" activePane="bottomRight" state="frozen"/>
      <selection activeCell="E36" sqref="E36"/>
      <selection pane="topRight" activeCell="E36" sqref="E36"/>
      <selection pane="bottomLeft" activeCell="E36" sqref="E36"/>
      <selection pane="bottomRight" activeCell="E90" sqref="E90"/>
    </sheetView>
  </sheetViews>
  <sheetFormatPr defaultRowHeight="12.75"/>
  <cols>
    <col min="1" max="1" width="8" style="120" hidden="1" customWidth="1"/>
    <col min="2" max="2" width="3.85546875" style="120" customWidth="1"/>
    <col min="3" max="3" width="96" style="120" customWidth="1"/>
    <col min="4" max="4" width="10.7109375" style="120" customWidth="1"/>
    <col min="5" max="5" width="45.7109375" style="120" customWidth="1"/>
    <col min="6" max="6" width="10.42578125" style="120" hidden="1" customWidth="1"/>
    <col min="7" max="7" width="45.7109375" style="120" customWidth="1"/>
    <col min="8" max="8" width="10.42578125" style="120" hidden="1" customWidth="1"/>
    <col min="9" max="9" width="9.140625" style="120"/>
    <col min="10" max="10" width="10.28515625" style="120" customWidth="1"/>
    <col min="11" max="16384" width="9.140625" style="120"/>
  </cols>
  <sheetData>
    <row r="1" spans="1:9" ht="13.5" hidden="1" customHeight="1">
      <c r="A1" s="120">
        <f>ROW(C102)</f>
        <v>102</v>
      </c>
    </row>
    <row r="2" spans="1:9">
      <c r="A2" s="120">
        <f>COLUMN(C102)</f>
        <v>3</v>
      </c>
      <c r="C2" s="121" t="s">
        <v>2480</v>
      </c>
      <c r="E2" s="122" t="str">
        <f>TT_LOCK(0)</f>
        <v/>
      </c>
      <c r="G2" s="357" t="str">
        <f>TT_LOCK(4)</f>
        <v>***RESULTS LOCKED***</v>
      </c>
    </row>
    <row r="3" spans="1:9">
      <c r="A3" s="120">
        <f>COLUMN(J102)</f>
        <v>10</v>
      </c>
      <c r="C3" s="123" t="str">
        <f>TT_CFG("System Bios")</f>
        <v>System Bios</v>
      </c>
      <c r="E3" s="333">
        <v>0.46</v>
      </c>
      <c r="F3" s="334"/>
      <c r="G3" s="333">
        <v>0.45</v>
      </c>
      <c r="H3" s="334"/>
      <c r="I3" s="124"/>
    </row>
    <row r="4" spans="1:9">
      <c r="C4" s="123" t="str">
        <f>TT_CFG("Kbc")</f>
        <v>Kbc</v>
      </c>
      <c r="E4" s="333" t="s">
        <v>2995</v>
      </c>
      <c r="F4" s="334"/>
      <c r="G4" s="333">
        <v>45.09</v>
      </c>
      <c r="H4" s="334"/>
      <c r="I4" s="124"/>
    </row>
    <row r="5" spans="1:9">
      <c r="C5" s="123" t="str">
        <f>TT_CFG("Me Version")</f>
        <v>Me Version</v>
      </c>
      <c r="E5" s="333" t="s">
        <v>3000</v>
      </c>
      <c r="F5" s="334"/>
      <c r="G5" s="333" t="s">
        <v>2792</v>
      </c>
      <c r="H5" s="334"/>
      <c r="I5" s="124"/>
    </row>
    <row r="6" spans="1:9">
      <c r="I6" s="125"/>
    </row>
    <row r="7" spans="1:9">
      <c r="C7" s="126" t="str">
        <f>TT_CFG("UserLabel")</f>
        <v>Configuration ID</v>
      </c>
      <c r="D7" s="127"/>
      <c r="E7" s="335" t="s">
        <v>2954</v>
      </c>
      <c r="F7" s="336"/>
      <c r="G7" s="335" t="s">
        <v>2954</v>
      </c>
      <c r="H7" s="336"/>
      <c r="I7" s="124"/>
    </row>
    <row r="8" spans="1:9" ht="12.75" customHeight="1">
      <c r="C8" s="128" t="str">
        <f>TT_CFG("Unit Id")</f>
        <v>Unit Id</v>
      </c>
      <c r="D8" s="127"/>
      <c r="E8" s="329" t="s">
        <v>2779</v>
      </c>
      <c r="F8" s="328"/>
      <c r="G8" s="329" t="s">
        <v>2779</v>
      </c>
      <c r="H8" s="328"/>
      <c r="I8" s="124"/>
    </row>
    <row r="9" spans="1:9" ht="12.75" customHeight="1">
      <c r="C9" s="128" t="str">
        <f>TT_CFG("System Board")</f>
        <v>System Board</v>
      </c>
      <c r="D9" s="127"/>
      <c r="E9" s="329" t="s">
        <v>2780</v>
      </c>
      <c r="F9" s="328"/>
      <c r="G9" s="329" t="s">
        <v>2780</v>
      </c>
      <c r="H9" s="328"/>
      <c r="I9" s="124"/>
    </row>
    <row r="10" spans="1:9" ht="12.75" customHeight="1">
      <c r="C10" s="128" t="str">
        <f>TT_CFG("Processor")</f>
        <v>Processor</v>
      </c>
      <c r="D10" s="127"/>
      <c r="E10" s="329" t="s">
        <v>2781</v>
      </c>
      <c r="F10" s="328"/>
      <c r="G10" s="329" t="s">
        <v>2781</v>
      </c>
      <c r="H10" s="328"/>
      <c r="I10" s="124"/>
    </row>
    <row r="11" spans="1:9" ht="12.75" customHeight="1">
      <c r="C11" s="128" t="str">
        <f>TT_CFG("Video Architecture")</f>
        <v>Video Architecture</v>
      </c>
      <c r="D11" s="127"/>
      <c r="E11" s="329" t="s">
        <v>183</v>
      </c>
      <c r="F11" s="328"/>
      <c r="G11" s="329" t="s">
        <v>183</v>
      </c>
      <c r="H11" s="328"/>
      <c r="I11" s="124"/>
    </row>
    <row r="12" spans="1:9" ht="12.75" customHeight="1">
      <c r="C12" s="128" t="str">
        <f>TT_CFG("Graphics")</f>
        <v>Graphics</v>
      </c>
      <c r="D12" s="127"/>
      <c r="E12" s="329" t="s">
        <v>1820</v>
      </c>
      <c r="F12" s="328"/>
      <c r="G12" s="329" t="s">
        <v>1820</v>
      </c>
      <c r="H12" s="328"/>
      <c r="I12" s="124"/>
    </row>
    <row r="13" spans="1:9" ht="12.75" customHeight="1">
      <c r="C13" s="128" t="str">
        <f>TT_CFG("Vram")</f>
        <v>Vram</v>
      </c>
      <c r="D13" s="127"/>
      <c r="E13" s="329" t="s">
        <v>166</v>
      </c>
      <c r="F13" s="328"/>
      <c r="G13" s="329" t="s">
        <v>166</v>
      </c>
      <c r="H13" s="328"/>
      <c r="I13" s="124"/>
    </row>
    <row r="14" spans="1:9" ht="12.75" customHeight="1">
      <c r="C14" s="128" t="str">
        <f>TT_CFG("Display Panel")</f>
        <v>Display Panel</v>
      </c>
      <c r="D14" s="127"/>
      <c r="E14" s="329" t="s">
        <v>1819</v>
      </c>
      <c r="F14" s="328"/>
      <c r="G14" s="329" t="s">
        <v>1819</v>
      </c>
      <c r="H14" s="328"/>
      <c r="I14" s="124"/>
    </row>
    <row r="15" spans="1:9" ht="12.75" customHeight="1">
      <c r="C15" s="128" t="str">
        <f>TT_CFG("Memory Slot 1")</f>
        <v>Memory Slot 1</v>
      </c>
      <c r="D15" s="127"/>
      <c r="E15" s="329" t="s">
        <v>2782</v>
      </c>
      <c r="F15" s="328"/>
      <c r="G15" s="329" t="s">
        <v>2782</v>
      </c>
      <c r="H15" s="328"/>
      <c r="I15" s="124"/>
    </row>
    <row r="16" spans="1:9" ht="12.75" customHeight="1">
      <c r="C16" s="128" t="str">
        <f>TT_CFG("Memory Slot 2")</f>
        <v>Memory Slot 2</v>
      </c>
      <c r="D16" s="127"/>
      <c r="E16" s="329" t="s">
        <v>166</v>
      </c>
      <c r="F16" s="328"/>
      <c r="G16" s="329" t="s">
        <v>166</v>
      </c>
      <c r="H16" s="328"/>
      <c r="I16" s="124"/>
    </row>
    <row r="17" spans="3:10" ht="12.75" customHeight="1">
      <c r="C17" s="128" t="str">
        <f>TT_CFG("Memory Slot 3")</f>
        <v>Memory Slot 3</v>
      </c>
      <c r="D17" s="127"/>
      <c r="E17" s="329" t="s">
        <v>166</v>
      </c>
      <c r="F17" s="328"/>
      <c r="G17" s="329" t="s">
        <v>166</v>
      </c>
      <c r="H17" s="328"/>
      <c r="I17" s="353"/>
      <c r="J17" s="354"/>
    </row>
    <row r="18" spans="3:10" ht="12.75" customHeight="1">
      <c r="C18" s="128" t="str">
        <f>TT_CFG("Memory Slot 4")</f>
        <v>Memory Slot 4</v>
      </c>
      <c r="D18" s="127"/>
      <c r="E18" s="329" t="s">
        <v>166</v>
      </c>
      <c r="F18" s="328"/>
      <c r="G18" s="329" t="s">
        <v>166</v>
      </c>
      <c r="H18" s="328"/>
      <c r="I18" s="353"/>
      <c r="J18" s="354"/>
    </row>
    <row r="19" spans="3:10" ht="12.75" customHeight="1">
      <c r="C19" s="128" t="str">
        <f>TT_CFG("Hard Drive")</f>
        <v>Hard Drive</v>
      </c>
      <c r="D19" s="127"/>
      <c r="E19" s="329" t="s">
        <v>2783</v>
      </c>
      <c r="F19" s="328"/>
      <c r="G19" s="329" t="s">
        <v>2783</v>
      </c>
      <c r="H19" s="328"/>
      <c r="I19" s="124"/>
    </row>
    <row r="20" spans="3:10" ht="12.75" customHeight="1">
      <c r="C20" s="128" t="str">
        <f>TT_CFG("Bluetooth Module")</f>
        <v>Bluetooth Module</v>
      </c>
      <c r="D20" s="127"/>
      <c r="E20" s="329" t="s">
        <v>2784</v>
      </c>
      <c r="F20" s="328"/>
      <c r="G20" s="329" t="s">
        <v>2784</v>
      </c>
      <c r="H20" s="328"/>
      <c r="I20" s="124"/>
    </row>
    <row r="21" spans="3:10" ht="12.75" customHeight="1">
      <c r="C21" s="128" t="str">
        <f>TT_CFG("Wireless Lan")</f>
        <v>Wireless Lan</v>
      </c>
      <c r="D21" s="127"/>
      <c r="E21" s="329" t="s">
        <v>2784</v>
      </c>
      <c r="F21" s="328"/>
      <c r="G21" s="329" t="s">
        <v>2784</v>
      </c>
      <c r="H21" s="328"/>
      <c r="I21" s="124"/>
    </row>
    <row r="22" spans="3:10" ht="12.75" customHeight="1">
      <c r="C22" s="128" t="str">
        <f>TT_CFG("Wireless Wan")</f>
        <v>Wireless Wan</v>
      </c>
      <c r="D22" s="127"/>
      <c r="E22" s="329" t="s">
        <v>2785</v>
      </c>
      <c r="F22" s="328"/>
      <c r="G22" s="329" t="s">
        <v>2785</v>
      </c>
      <c r="H22" s="328"/>
      <c r="I22" s="124"/>
    </row>
    <row r="23" spans="3:10" ht="12.75" customHeight="1">
      <c r="C23" s="128" t="str">
        <f>TT_CFG("Wired Nic")</f>
        <v>Wired Nic</v>
      </c>
      <c r="D23" s="127"/>
      <c r="E23" s="329" t="s">
        <v>166</v>
      </c>
      <c r="F23" s="328"/>
      <c r="G23" s="329" t="s">
        <v>166</v>
      </c>
      <c r="H23" s="328"/>
      <c r="I23" s="124"/>
    </row>
    <row r="24" spans="3:10" ht="12.75" customHeight="1">
      <c r="C24" s="128" t="str">
        <f>TT_CFG("Modem")</f>
        <v>Modem</v>
      </c>
      <c r="D24" s="127"/>
      <c r="E24" s="329" t="s">
        <v>166</v>
      </c>
      <c r="F24" s="328"/>
      <c r="G24" s="329" t="s">
        <v>166</v>
      </c>
      <c r="H24" s="328"/>
      <c r="I24" s="124"/>
    </row>
    <row r="25" spans="3:10" ht="12.75" customHeight="1">
      <c r="C25" s="128" t="str">
        <f>TT_CFG("Camera")</f>
        <v>Camera</v>
      </c>
      <c r="D25" s="127"/>
      <c r="E25" s="329" t="s">
        <v>2786</v>
      </c>
      <c r="F25" s="328"/>
      <c r="G25" s="329" t="s">
        <v>2786</v>
      </c>
      <c r="H25" s="328"/>
      <c r="I25" s="124"/>
    </row>
    <row r="26" spans="3:10" ht="12.75" customHeight="1">
      <c r="C26" s="128" t="str">
        <f>TT_CFG("Fingerprint Reader")</f>
        <v>Fingerprint Reader</v>
      </c>
      <c r="D26" s="127"/>
      <c r="E26" s="329" t="s">
        <v>166</v>
      </c>
      <c r="F26" s="328"/>
      <c r="G26" s="329" t="s">
        <v>166</v>
      </c>
      <c r="H26" s="328"/>
      <c r="I26" s="124"/>
    </row>
    <row r="27" spans="3:10" ht="12.75" customHeight="1">
      <c r="C27" s="128" t="str">
        <f>TT_CFG("Unit Upgrade Bay Device")</f>
        <v>Unit Upgrade Bay Device</v>
      </c>
      <c r="D27" s="127"/>
      <c r="E27" s="329" t="s">
        <v>166</v>
      </c>
      <c r="F27" s="328"/>
      <c r="G27" s="329" t="s">
        <v>166</v>
      </c>
      <c r="H27" s="328"/>
      <c r="I27" s="124"/>
    </row>
    <row r="28" spans="3:10" ht="12.75" customHeight="1">
      <c r="C28" s="128" t="str">
        <f>TT_CFG("Dock Type")</f>
        <v>Dock Type</v>
      </c>
      <c r="D28" s="127"/>
      <c r="E28" s="329" t="s">
        <v>166</v>
      </c>
      <c r="F28" s="328"/>
      <c r="G28" s="329" t="s">
        <v>166</v>
      </c>
      <c r="H28" s="328"/>
      <c r="I28" s="124"/>
    </row>
    <row r="29" spans="3:10" ht="12.75" customHeight="1">
      <c r="C29" s="128" t="str">
        <f>TT_CFG("Dock Bay Device")</f>
        <v>Dock Bay Device</v>
      </c>
      <c r="D29" s="127"/>
      <c r="E29" s="329" t="s">
        <v>166</v>
      </c>
      <c r="F29" s="328"/>
      <c r="G29" s="329" t="s">
        <v>166</v>
      </c>
      <c r="H29" s="328"/>
      <c r="I29" s="124"/>
    </row>
    <row r="30" spans="3:10" ht="12.75" customHeight="1">
      <c r="C30" s="128" t="str">
        <f>TT_CFG("Touchpad Pointstick Combo")</f>
        <v>Touchpad Pointstick Combo</v>
      </c>
      <c r="D30" s="127"/>
      <c r="E30" s="329" t="s">
        <v>283</v>
      </c>
      <c r="F30" s="328"/>
      <c r="G30" s="329" t="s">
        <v>283</v>
      </c>
      <c r="H30" s="328"/>
      <c r="I30" s="124"/>
    </row>
    <row r="31" spans="3:10" ht="12.75" customHeight="1">
      <c r="C31" s="128" t="str">
        <f>TT_CFG("Keyboard")</f>
        <v>Keyboard</v>
      </c>
      <c r="D31" s="127"/>
      <c r="E31" s="329" t="s">
        <v>239</v>
      </c>
      <c r="F31" s="328"/>
      <c r="G31" s="329" t="s">
        <v>239</v>
      </c>
      <c r="H31" s="328"/>
      <c r="I31" s="124"/>
    </row>
    <row r="32" spans="3:10" ht="12.75" customHeight="1">
      <c r="C32" s="128" t="str">
        <f>TT_CFG("Unit Battery")</f>
        <v>Unit Battery</v>
      </c>
      <c r="D32" s="127"/>
      <c r="E32" s="329" t="s">
        <v>284</v>
      </c>
      <c r="F32" s="328"/>
      <c r="G32" s="329" t="s">
        <v>284</v>
      </c>
      <c r="H32" s="328"/>
      <c r="I32" s="124"/>
    </row>
    <row r="33" spans="3:9" ht="12.75" customHeight="1">
      <c r="C33" s="128" t="str">
        <f>TT_CFG("Travel Battery")</f>
        <v>Travel Battery</v>
      </c>
      <c r="D33" s="127"/>
      <c r="E33" s="329" t="s">
        <v>166</v>
      </c>
      <c r="F33" s="328"/>
      <c r="G33" s="329" t="s">
        <v>166</v>
      </c>
      <c r="H33" s="328"/>
      <c r="I33" s="124"/>
    </row>
    <row r="35" spans="3:9">
      <c r="C35" s="298"/>
    </row>
    <row r="36" spans="3:9" ht="18">
      <c r="C36" s="133" t="str">
        <f>TT_SUITE("KBC", -1, 1)</f>
        <v>▼ KBC</v>
      </c>
      <c r="D36" s="143" t="str">
        <f>TT_ROLLUP(-1, D36, D36)</f>
        <v/>
      </c>
      <c r="E36" s="143" t="str">
        <f>TT_ROLLUP(-1, E36, E36)</f>
        <v/>
      </c>
      <c r="F36" s="132"/>
      <c r="G36" s="143" t="str">
        <f>TT_ROLLUP(-1, G36, G36)</f>
        <v/>
      </c>
      <c r="H36" s="132"/>
      <c r="I36" s="124"/>
    </row>
    <row r="37" spans="3:9" ht="15">
      <c r="C37" s="291" t="s">
        <v>153</v>
      </c>
      <c r="D37" s="291" t="str">
        <f>TT_LOCK(5)</f>
        <v/>
      </c>
      <c r="E37" s="291" t="s">
        <v>2483</v>
      </c>
      <c r="F37" s="132"/>
      <c r="G37" s="291" t="s">
        <v>2483</v>
      </c>
      <c r="H37" s="132"/>
      <c r="I37" s="124"/>
    </row>
    <row r="38" spans="3:9" ht="15">
      <c r="C38" s="291" t="s">
        <v>2484</v>
      </c>
      <c r="D38" s="291" t="str">
        <f>TT_LOCK(5)</f>
        <v/>
      </c>
      <c r="E38" s="291"/>
      <c r="F38" s="132"/>
      <c r="G38" s="291"/>
      <c r="H38" s="132"/>
      <c r="I38" s="124"/>
    </row>
    <row r="39" spans="3:9" ht="15">
      <c r="C39" s="291" t="s">
        <v>2485</v>
      </c>
      <c r="D39" s="291" t="str">
        <f>TT_LOCK(5)</f>
        <v/>
      </c>
      <c r="E39" s="291"/>
      <c r="F39" s="132"/>
      <c r="G39" s="291"/>
      <c r="H39" s="132"/>
      <c r="I39" s="124"/>
    </row>
    <row r="40" spans="3:9" ht="15">
      <c r="C40" s="291" t="s">
        <v>2486</v>
      </c>
      <c r="D40" s="291" t="str">
        <f>TT_LOCK(5)</f>
        <v/>
      </c>
      <c r="E40" s="291"/>
      <c r="F40" s="132"/>
      <c r="G40" s="291"/>
      <c r="H40" s="132"/>
      <c r="I40" s="124"/>
    </row>
    <row r="41" spans="3:9" ht="15">
      <c r="C41" s="291" t="s">
        <v>2487</v>
      </c>
      <c r="D41" s="291" t="str">
        <f>TT_LOCK(5)</f>
        <v/>
      </c>
      <c r="E41" s="291"/>
      <c r="F41" s="132"/>
      <c r="G41" s="291"/>
      <c r="H41" s="132"/>
      <c r="I41" s="124"/>
    </row>
    <row r="42" spans="3:9" ht="15">
      <c r="C42" s="291" t="str">
        <f>TT_CFG("Environment")</f>
        <v>Environment</v>
      </c>
      <c r="D42" s="291" t="s">
        <v>661</v>
      </c>
      <c r="E42" s="330"/>
      <c r="F42" s="331"/>
      <c r="G42" s="330" t="s">
        <v>2886</v>
      </c>
      <c r="H42" s="331"/>
      <c r="I42" s="124"/>
    </row>
    <row r="43" spans="3:9" ht="15">
      <c r="C43" s="135" t="str">
        <f>TT_CASE("Battery Support:Battery Information (WinPVT)", -1, 1)</f>
        <v xml:space="preserve"> Battery Support:Battery Information (WinPVT)</v>
      </c>
      <c r="D43" s="136" t="str">
        <f>TT_CYCLE(-1)</f>
        <v>●</v>
      </c>
      <c r="E43" s="137" t="str">
        <f>TT_TR("X", "", "")</f>
        <v>●</v>
      </c>
      <c r="F43" s="138" t="s">
        <v>2991</v>
      </c>
      <c r="G43" s="137" t="str">
        <f>TT_TR("X", "", "")</f>
        <v>●</v>
      </c>
      <c r="H43" s="138" t="s">
        <v>2717</v>
      </c>
      <c r="I43" s="124"/>
    </row>
    <row r="44" spans="3:9" ht="15">
      <c r="C44" s="145" t="str">
        <f>TT_CASE("Power status change via panel brightness up/down", -1, 1)</f>
        <v xml:space="preserve"> Power status change via panel brightness up/down</v>
      </c>
      <c r="D44" s="276" t="str">
        <f>TT_CYCLE(-1)</f>
        <v>P</v>
      </c>
      <c r="E44" s="359"/>
      <c r="F44" s="138"/>
      <c r="G44" s="277" t="str">
        <f>TT_TR("P", "", "")</f>
        <v>P</v>
      </c>
      <c r="H44" s="138" t="s">
        <v>2955</v>
      </c>
      <c r="I44" s="124"/>
    </row>
    <row r="45" spans="3:9" ht="15">
      <c r="C45" s="135" t="str">
        <f>TT_CASE("Over Current Protection testing", -1, 1)</f>
        <v xml:space="preserve"> Over Current Protection testing</v>
      </c>
      <c r="D45" s="136" t="str">
        <f>TT_CYCLE(-1)</f>
        <v>●</v>
      </c>
      <c r="E45" s="137" t="str">
        <f>TT_TR("X", "", "")</f>
        <v>●</v>
      </c>
      <c r="F45" s="138" t="s">
        <v>2991</v>
      </c>
      <c r="G45" s="137" t="str">
        <f>TT_TR("X", "", "")</f>
        <v>●</v>
      </c>
      <c r="H45" s="138" t="s">
        <v>2717</v>
      </c>
      <c r="I45" s="124"/>
    </row>
    <row r="46" spans="3:9" ht="15">
      <c r="C46" s="135" t="str">
        <f>TT_CASE("NumLock Functionality", -1, 1)</f>
        <v xml:space="preserve"> NumLock Functionality</v>
      </c>
      <c r="D46" s="136" t="str">
        <f>TT_CYCLE(-1)</f>
        <v>●</v>
      </c>
      <c r="E46" s="137" t="str">
        <f>TT_TR("X", "", "")</f>
        <v>●</v>
      </c>
      <c r="F46" s="138" t="s">
        <v>2991</v>
      </c>
      <c r="G46" s="137" t="str">
        <f>TT_TR("X", "", "")</f>
        <v>●</v>
      </c>
      <c r="H46" s="138" t="s">
        <v>2717</v>
      </c>
      <c r="I46" s="124"/>
    </row>
    <row r="47" spans="3:9">
      <c r="C47" s="248" t="str">
        <f>TT_CASE("Breathing Led", -1, 1)</f>
        <v xml:space="preserve"> Breathing Led</v>
      </c>
      <c r="D47" s="276" t="str">
        <f>TT_CYCLE(-1)</f>
        <v>P</v>
      </c>
      <c r="E47" s="359"/>
      <c r="F47" s="138"/>
      <c r="G47" s="277" t="str">
        <f>TT_TR("P", "", "")</f>
        <v>P</v>
      </c>
      <c r="H47" s="138" t="s">
        <v>2959</v>
      </c>
      <c r="I47" s="124"/>
    </row>
    <row r="48" spans="3:9" ht="18">
      <c r="C48" s="133" t="str">
        <f>TT_SUITE("Public / Private WMI", -1, 1)</f>
        <v>▼ Public / Private WMI</v>
      </c>
      <c r="D48" s="143" t="str">
        <f>TT_ROLLUP(-1, D48, D48)</f>
        <v/>
      </c>
      <c r="E48" s="143" t="str">
        <f>TT_ROLLUP(-1, E48, E48)</f>
        <v/>
      </c>
      <c r="F48" s="132"/>
      <c r="G48" s="143" t="str">
        <f>TT_ROLLUP(-1, G48, G48)</f>
        <v/>
      </c>
      <c r="H48" s="132"/>
      <c r="I48" s="124"/>
    </row>
    <row r="49" spans="3:9" ht="15">
      <c r="C49" s="291" t="s">
        <v>153</v>
      </c>
      <c r="D49" s="291"/>
      <c r="E49" s="291" t="s">
        <v>2483</v>
      </c>
      <c r="F49" s="132"/>
      <c r="G49" s="291" t="s">
        <v>2483</v>
      </c>
      <c r="H49" s="132"/>
      <c r="I49" s="124"/>
    </row>
    <row r="50" spans="3:9" ht="15">
      <c r="C50" s="291" t="s">
        <v>2484</v>
      </c>
      <c r="D50" s="291" t="str">
        <f>TT_LOCK(5)</f>
        <v/>
      </c>
      <c r="E50" s="291"/>
      <c r="F50" s="132"/>
      <c r="G50" s="291"/>
      <c r="H50" s="132"/>
      <c r="I50" s="124"/>
    </row>
    <row r="51" spans="3:9" ht="15">
      <c r="C51" s="291" t="s">
        <v>2485</v>
      </c>
      <c r="D51" s="291" t="str">
        <f>TT_LOCK(5)</f>
        <v/>
      </c>
      <c r="E51" s="291"/>
      <c r="F51" s="132"/>
      <c r="G51" s="291"/>
      <c r="H51" s="132"/>
      <c r="I51" s="124"/>
    </row>
    <row r="52" spans="3:9" ht="15">
      <c r="C52" s="291" t="s">
        <v>2486</v>
      </c>
      <c r="D52" s="291" t="str">
        <f>TT_LOCK(5)</f>
        <v/>
      </c>
      <c r="E52" s="291"/>
      <c r="F52" s="132"/>
      <c r="G52" s="291"/>
      <c r="H52" s="132"/>
      <c r="I52" s="124"/>
    </row>
    <row r="53" spans="3:9" ht="15">
      <c r="C53" s="291" t="s">
        <v>2487</v>
      </c>
      <c r="D53" s="291" t="str">
        <f>TT_LOCK(5)</f>
        <v/>
      </c>
      <c r="E53" s="291"/>
      <c r="F53" s="132"/>
      <c r="G53" s="291"/>
      <c r="H53" s="132"/>
      <c r="I53" s="124"/>
    </row>
    <row r="54" spans="3:9" ht="15">
      <c r="C54" s="291" t="str">
        <f>TT_CFG("Environment")</f>
        <v>Environment</v>
      </c>
      <c r="D54" s="291"/>
      <c r="E54" s="330"/>
      <c r="F54" s="331"/>
      <c r="G54" s="330"/>
      <c r="H54" s="331"/>
      <c r="I54" s="124"/>
    </row>
    <row r="55" spans="3:9" ht="15">
      <c r="C55" s="135" t="str">
        <f>TT_CASE("Panel EDID data (WinPVT)", -1, 1)</f>
        <v xml:space="preserve"> Panel EDID data (WinPVT)</v>
      </c>
      <c r="D55" s="136" t="str">
        <f t="shared" ref="D55:D65" si="0">TT_CYCLE(-1)</f>
        <v>●</v>
      </c>
      <c r="E55" s="223" t="str">
        <f>TT_TR("X", "", "")</f>
        <v>●</v>
      </c>
      <c r="F55" s="138" t="s">
        <v>2991</v>
      </c>
      <c r="G55" s="223" t="str">
        <f t="shared" ref="E55:G65" si="1">TT_TR("X", "", "")</f>
        <v>●</v>
      </c>
      <c r="H55" s="138" t="s">
        <v>2718</v>
      </c>
      <c r="I55" s="124"/>
    </row>
    <row r="56" spans="3:9" ht="15">
      <c r="C56" s="135" t="str">
        <f>TT_CASE("WMI Backlit Keyboard Control without Bios Admin Password", -1, 1)</f>
        <v xml:space="preserve"> WMI Backlit Keyboard Control without Bios Admin Password</v>
      </c>
      <c r="D56" s="136" t="str">
        <f t="shared" si="0"/>
        <v>●</v>
      </c>
      <c r="E56" s="223" t="str">
        <f>TT_TR("X", "", "")</f>
        <v>●</v>
      </c>
      <c r="F56" s="138" t="s">
        <v>2991</v>
      </c>
      <c r="G56" s="223" t="str">
        <f t="shared" si="1"/>
        <v>●</v>
      </c>
      <c r="H56" s="138" t="s">
        <v>2718</v>
      </c>
      <c r="I56" s="124"/>
    </row>
    <row r="57" spans="3:9" ht="15">
      <c r="C57" s="135" t="str">
        <f>TT_CASE("HPBIOSUPDREC with HD activity (WinPVT) - Overnight", -1, 1)</f>
        <v xml:space="preserve"> HPBIOSUPDREC with HD activity (WinPVT) - Overnight</v>
      </c>
      <c r="D57" s="136" t="str">
        <f t="shared" si="0"/>
        <v>●</v>
      </c>
      <c r="E57" s="223" t="str">
        <f>TT_TR("X", "", "")</f>
        <v>●</v>
      </c>
      <c r="F57" s="138" t="s">
        <v>2991</v>
      </c>
      <c r="G57" s="223" t="str">
        <f t="shared" si="1"/>
        <v>●</v>
      </c>
      <c r="H57" s="138" t="s">
        <v>2718</v>
      </c>
      <c r="I57" s="124"/>
    </row>
    <row r="58" spans="3:9" ht="15">
      <c r="C58" s="135" t="str">
        <f>TT_CASE("HPBIOSUPDREC on delay mode with HD activity (WinPVT) - Overnight", -1, 1)</f>
        <v xml:space="preserve"> HPBIOSUPDREC on delay mode with HD activity (WinPVT) - Overnight</v>
      </c>
      <c r="D58" s="136" t="str">
        <f t="shared" si="0"/>
        <v>●</v>
      </c>
      <c r="E58" s="223" t="str">
        <f>TT_TR("X", "", "")</f>
        <v>●</v>
      </c>
      <c r="F58" s="138" t="s">
        <v>2991</v>
      </c>
      <c r="G58" s="223" t="str">
        <f t="shared" si="1"/>
        <v>●</v>
      </c>
      <c r="H58" s="138" t="s">
        <v>2718</v>
      </c>
      <c r="I58" s="124"/>
    </row>
    <row r="59" spans="3:9" ht="15">
      <c r="C59" s="135" t="str">
        <f>TT_CASE("Bootblock Flash (WinPVT) - Overnight", -1, 1)</f>
        <v xml:space="preserve"> Bootblock Flash (WinPVT) - Overnight</v>
      </c>
      <c r="D59" s="136" t="str">
        <f t="shared" si="0"/>
        <v>●</v>
      </c>
      <c r="E59" s="223" t="str">
        <f>TT_TR("X", "", "")</f>
        <v>●</v>
      </c>
      <c r="F59" s="138" t="s">
        <v>2991</v>
      </c>
      <c r="G59" s="223" t="str">
        <f t="shared" si="1"/>
        <v>●</v>
      </c>
      <c r="H59" s="138" t="s">
        <v>2718</v>
      </c>
      <c r="I59" s="124"/>
    </row>
    <row r="60" spans="3:9" ht="15">
      <c r="C60" s="135" t="str">
        <f>TT_CASE("WMI Bios Flash Implementation (WinPVT) - Overnight", -1, 1)</f>
        <v xml:space="preserve"> WMI Bios Flash Implementation (WinPVT) - Overnight</v>
      </c>
      <c r="D60" s="136" t="str">
        <f t="shared" si="0"/>
        <v>●</v>
      </c>
      <c r="E60" s="223" t="str">
        <f>TT_TR("X", "", "")</f>
        <v>●</v>
      </c>
      <c r="F60" s="138" t="s">
        <v>2991</v>
      </c>
      <c r="G60" s="223" t="str">
        <f t="shared" si="1"/>
        <v>●</v>
      </c>
      <c r="H60" s="138" t="s">
        <v>2718</v>
      </c>
      <c r="I60" s="124"/>
    </row>
    <row r="61" spans="3:9" ht="15">
      <c r="C61" s="135" t="str">
        <f>TT_CASE("WMI Stress - Public And Private Wmi Calls (WinPVT) - Overnight", -1, 1)</f>
        <v xml:space="preserve"> WMI Stress - Public And Private Wmi Calls (WinPVT) - Overnight</v>
      </c>
      <c r="D61" s="136" t="str">
        <f t="shared" si="0"/>
        <v>●</v>
      </c>
      <c r="E61" s="223" t="str">
        <f>TT_TR("X", "", "")</f>
        <v>●</v>
      </c>
      <c r="F61" s="138" t="s">
        <v>2991</v>
      </c>
      <c r="G61" s="223" t="str">
        <f t="shared" si="1"/>
        <v>●</v>
      </c>
      <c r="H61" s="138" t="s">
        <v>2718</v>
      </c>
      <c r="I61" s="124"/>
    </row>
    <row r="62" spans="3:9" ht="15">
      <c r="C62" s="135" t="str">
        <f>TT_CASE("BIOS Backup WMI (10 cycles) - WinPVT", -1, 1)</f>
        <v xml:space="preserve"> BIOS Backup WMI (10 cycles) - WinPVT</v>
      </c>
      <c r="D62" s="136" t="str">
        <f t="shared" si="0"/>
        <v>●</v>
      </c>
      <c r="E62" s="137" t="str">
        <f>TT_TR("X", "", "")</f>
        <v>●</v>
      </c>
      <c r="F62" s="138" t="s">
        <v>2991</v>
      </c>
      <c r="G62" s="137" t="str">
        <f t="shared" si="1"/>
        <v>●</v>
      </c>
      <c r="H62" s="138" t="s">
        <v>2718</v>
      </c>
      <c r="I62" s="124"/>
    </row>
    <row r="63" spans="3:9" ht="15">
      <c r="C63" s="135" t="str">
        <f>TT_CASE("BIOS Backup WMI (10 cycles) GPT partition- WinPVT", -1, 1)</f>
        <v xml:space="preserve"> BIOS Backup WMI (10 cycles) GPT partition- WinPVT</v>
      </c>
      <c r="D63" s="136" t="str">
        <f t="shared" si="0"/>
        <v>●</v>
      </c>
      <c r="E63" s="137" t="str">
        <f>TT_TR("X", "", "")</f>
        <v>●</v>
      </c>
      <c r="F63" s="138" t="s">
        <v>2991</v>
      </c>
      <c r="G63" s="137" t="str">
        <f t="shared" si="1"/>
        <v>●</v>
      </c>
      <c r="H63" s="138" t="s">
        <v>2718</v>
      </c>
      <c r="I63" s="124"/>
    </row>
    <row r="64" spans="3:9" ht="15">
      <c r="C64" s="135" t="str">
        <f>TT_CASE("NVS Reclaim Interactive Only - WinPVT", -1, 1)</f>
        <v xml:space="preserve"> NVS Reclaim Interactive Only - WinPVT</v>
      </c>
      <c r="D64" s="136" t="str">
        <f t="shared" si="0"/>
        <v>●</v>
      </c>
      <c r="E64" s="137" t="str">
        <f>TT_TR("X", "", "")</f>
        <v>●</v>
      </c>
      <c r="F64" s="138" t="s">
        <v>2991</v>
      </c>
      <c r="G64" s="137" t="str">
        <f t="shared" si="1"/>
        <v>●</v>
      </c>
      <c r="H64" s="138" t="s">
        <v>2718</v>
      </c>
      <c r="I64" s="124"/>
    </row>
    <row r="65" spans="3:9" s="186" customFormat="1" ht="15">
      <c r="C65" s="180" t="str">
        <f>TT_CASE("Intel Smart Connect Technology - Long Run", -1, 3)</f>
        <v xml:space="preserve"> Intel Smart Connect Technology - Long Run</v>
      </c>
      <c r="D65" s="136" t="str">
        <f t="shared" si="0"/>
        <v>●</v>
      </c>
      <c r="E65" s="141" t="str">
        <f>TT_TR("X", "", "")</f>
        <v>●</v>
      </c>
      <c r="F65" s="244" t="s">
        <v>2991</v>
      </c>
      <c r="G65" s="141" t="str">
        <f t="shared" si="1"/>
        <v>●</v>
      </c>
      <c r="H65" s="244" t="s">
        <v>2718</v>
      </c>
      <c r="I65" s="185"/>
    </row>
    <row r="66" spans="3:9" ht="18">
      <c r="C66" s="142" t="str">
        <f>TT_SUITE("F10 defaults and functionalities", -1, 1)</f>
        <v>▼ F10 defaults and functionalities</v>
      </c>
      <c r="D66" s="224" t="str">
        <f>TT_ROLLUP(-1, D66, D66)</f>
        <v/>
      </c>
      <c r="E66" s="225" t="str">
        <f>TT_ROLLUP(-1, E66, E66)</f>
        <v/>
      </c>
      <c r="F66" s="198"/>
      <c r="G66" s="225" t="str">
        <f>TT_ROLLUP(-1, G66, G66)</f>
        <v/>
      </c>
      <c r="H66" s="198"/>
      <c r="I66" s="124"/>
    </row>
    <row r="67" spans="3:9" ht="18">
      <c r="C67" s="291" t="s">
        <v>153</v>
      </c>
      <c r="D67" s="299" t="str">
        <f>TT_LOCK(5)</f>
        <v/>
      </c>
      <c r="E67" s="299" t="s">
        <v>2483</v>
      </c>
      <c r="F67" s="198"/>
      <c r="G67" s="299" t="s">
        <v>2483</v>
      </c>
      <c r="H67" s="198"/>
      <c r="I67" s="124"/>
    </row>
    <row r="68" spans="3:9" ht="18">
      <c r="C68" s="291" t="s">
        <v>2484</v>
      </c>
      <c r="D68" s="291" t="str">
        <f>TT_LOCK(5)</f>
        <v/>
      </c>
      <c r="E68" s="299"/>
      <c r="F68" s="198"/>
      <c r="G68" s="299"/>
      <c r="H68" s="198"/>
      <c r="I68" s="124"/>
    </row>
    <row r="69" spans="3:9" ht="18">
      <c r="C69" s="291" t="s">
        <v>2485</v>
      </c>
      <c r="D69" s="291" t="str">
        <f>TT_LOCK(5)</f>
        <v/>
      </c>
      <c r="E69" s="299"/>
      <c r="F69" s="198"/>
      <c r="G69" s="299"/>
      <c r="H69" s="198"/>
      <c r="I69" s="124"/>
    </row>
    <row r="70" spans="3:9" ht="15">
      <c r="C70" s="291" t="s">
        <v>2486</v>
      </c>
      <c r="D70" s="291" t="str">
        <f>TT_LOCK(5)</f>
        <v/>
      </c>
      <c r="E70" s="291"/>
      <c r="F70" s="132"/>
      <c r="G70" s="291"/>
      <c r="H70" s="132"/>
      <c r="I70" s="124"/>
    </row>
    <row r="71" spans="3:9" ht="18">
      <c r="C71" s="291" t="s">
        <v>2487</v>
      </c>
      <c r="D71" s="291" t="str">
        <f>TT_LOCK(5)</f>
        <v/>
      </c>
      <c r="E71" s="299"/>
      <c r="F71" s="198"/>
      <c r="G71" s="299"/>
      <c r="H71" s="198"/>
      <c r="I71" s="124"/>
    </row>
    <row r="72" spans="3:9" ht="18">
      <c r="C72" s="291" t="str">
        <f>TT_CFG("Environment")</f>
        <v>Environment</v>
      </c>
      <c r="D72" s="299" t="s">
        <v>661</v>
      </c>
      <c r="E72" s="351"/>
      <c r="F72" s="352"/>
      <c r="G72" s="351"/>
      <c r="H72" s="352"/>
      <c r="I72" s="124"/>
    </row>
    <row r="73" spans="3:9" ht="15.75" customHeight="1">
      <c r="C73" s="180" t="str">
        <f>TT_CASE("Verify System Default Settings (WinPVT)", -1, 1)</f>
        <v xml:space="preserve"> Verify System Default Settings (WinPVT)</v>
      </c>
      <c r="D73" s="136" t="str">
        <f>TT_CYCLE(-1)</f>
        <v>●</v>
      </c>
      <c r="E73" s="223" t="str">
        <f>TT_TR("X", "", "")</f>
        <v>●</v>
      </c>
      <c r="F73" s="300" t="s">
        <v>2991</v>
      </c>
      <c r="G73" s="223" t="str">
        <f>TT_TR("X", "", "")</f>
        <v>●</v>
      </c>
      <c r="H73" s="300" t="s">
        <v>2719</v>
      </c>
      <c r="I73" s="124"/>
    </row>
    <row r="74" spans="3:9" ht="18">
      <c r="C74" s="142" t="str">
        <f>TT_SUITE("EFI Application Validation - Full", -1, 1)</f>
        <v>▼ EFI Application Validation - Full</v>
      </c>
      <c r="D74" s="224" t="str">
        <f>TT_ROLLUP(-1, D74, D74)</f>
        <v/>
      </c>
      <c r="E74" s="225" t="str">
        <f>TT_ROLLUP(-1, E74, E74)</f>
        <v/>
      </c>
      <c r="F74" s="198"/>
      <c r="G74" s="225" t="str">
        <f>TT_ROLLUP(-1, G74, G74)</f>
        <v/>
      </c>
      <c r="H74" s="198"/>
      <c r="I74" s="124"/>
    </row>
    <row r="75" spans="3:9" ht="18">
      <c r="C75" s="291" t="s">
        <v>153</v>
      </c>
      <c r="D75" s="299" t="str">
        <f>TT_LOCK(5)</f>
        <v/>
      </c>
      <c r="E75" s="299" t="s">
        <v>2483</v>
      </c>
      <c r="F75" s="198"/>
      <c r="G75" s="299" t="s">
        <v>2483</v>
      </c>
      <c r="H75" s="198"/>
      <c r="I75" s="124"/>
    </row>
    <row r="76" spans="3:9" ht="18">
      <c r="C76" s="291" t="s">
        <v>2484</v>
      </c>
      <c r="D76" s="291" t="str">
        <f>TT_LOCK(5)</f>
        <v/>
      </c>
      <c r="E76" s="299"/>
      <c r="F76" s="198"/>
      <c r="G76" s="299"/>
      <c r="H76" s="198"/>
      <c r="I76" s="124"/>
    </row>
    <row r="77" spans="3:9" ht="18">
      <c r="C77" s="291" t="s">
        <v>2485</v>
      </c>
      <c r="D77" s="291" t="str">
        <f>TT_LOCK(5)</f>
        <v/>
      </c>
      <c r="E77" s="299"/>
      <c r="F77" s="198"/>
      <c r="G77" s="299"/>
      <c r="H77" s="198"/>
      <c r="I77" s="124"/>
    </row>
    <row r="78" spans="3:9" ht="15">
      <c r="C78" s="291" t="s">
        <v>2486</v>
      </c>
      <c r="D78" s="291" t="str">
        <f>TT_LOCK(5)</f>
        <v/>
      </c>
      <c r="E78" s="291"/>
      <c r="F78" s="132"/>
      <c r="G78" s="291"/>
      <c r="H78" s="132"/>
      <c r="I78" s="124"/>
    </row>
    <row r="79" spans="3:9" ht="18">
      <c r="C79" s="291" t="s">
        <v>2487</v>
      </c>
      <c r="D79" s="291" t="str">
        <f>TT_LOCK(5)</f>
        <v/>
      </c>
      <c r="E79" s="299"/>
      <c r="F79" s="198"/>
      <c r="G79" s="299"/>
      <c r="H79" s="198"/>
      <c r="I79" s="124"/>
    </row>
    <row r="80" spans="3:9" ht="18">
      <c r="C80" s="291" t="str">
        <f>TT_CFG("Environment")</f>
        <v>Environment</v>
      </c>
      <c r="D80" s="299" t="s">
        <v>661</v>
      </c>
      <c r="E80" s="351"/>
      <c r="F80" s="352"/>
      <c r="G80" s="351"/>
      <c r="H80" s="352"/>
      <c r="I80" s="124"/>
    </row>
    <row r="81" spans="3:9" ht="18">
      <c r="C81" s="226" t="str">
        <f>TT_CASE("Commit VPRO under EFI enviroment", -1, 1)</f>
        <v xml:space="preserve"> Commit VPRO under EFI enviroment</v>
      </c>
      <c r="D81" s="136" t="str">
        <f>TT_CYCLE(-1)</f>
        <v>●</v>
      </c>
      <c r="E81" s="137" t="str">
        <f>TT_TR("X", "", "")</f>
        <v>●</v>
      </c>
      <c r="F81" s="198" t="s">
        <v>2991</v>
      </c>
      <c r="G81" s="137" t="str">
        <f>TT_TR("X", "", "")</f>
        <v>●</v>
      </c>
      <c r="H81" s="198" t="s">
        <v>2720</v>
      </c>
      <c r="I81" s="124"/>
    </row>
    <row r="82" spans="3:9" ht="15">
      <c r="C82" s="135" t="str">
        <f>TT_CASE("Launch Hp Signed from HP_TOOLS partition (To start on PV phase)", -1, 1)</f>
        <v xml:space="preserve"> Launch Hp Signed from HP_TOOLS partition (To start on PV phase)</v>
      </c>
      <c r="D82" s="136" t="str">
        <f>TT_CYCLE(-1)</f>
        <v>●</v>
      </c>
      <c r="E82" s="137" t="str">
        <f>TT_TR("X", "", "")</f>
        <v>●</v>
      </c>
      <c r="F82" s="138" t="s">
        <v>2991</v>
      </c>
      <c r="G82" s="137" t="str">
        <f>TT_TR("X", "", "")</f>
        <v>●</v>
      </c>
      <c r="H82" s="138" t="s">
        <v>2720</v>
      </c>
      <c r="I82" s="124"/>
    </row>
    <row r="83" spans="3:9" ht="18">
      <c r="C83" s="142" t="str">
        <f>TT_SUITE("HP INT15 Support", -1, 1)</f>
        <v>▼ HP INT15 Support</v>
      </c>
      <c r="D83" s="224" t="str">
        <f>TT_ROLLUP(-1, D83, D83)</f>
        <v/>
      </c>
      <c r="E83" s="225" t="str">
        <f>TT_ROLLUP(-1, E83, E83)</f>
        <v/>
      </c>
      <c r="F83" s="198"/>
      <c r="G83" s="225" t="str">
        <f>TT_ROLLUP(-1, G83, G83)</f>
        <v/>
      </c>
      <c r="H83" s="198"/>
      <c r="I83" s="124"/>
    </row>
    <row r="84" spans="3:9" ht="18">
      <c r="C84" s="291" t="s">
        <v>153</v>
      </c>
      <c r="D84" s="299" t="str">
        <f>TT_LOCK(5)</f>
        <v/>
      </c>
      <c r="E84" s="299" t="s">
        <v>2483</v>
      </c>
      <c r="F84" s="198"/>
      <c r="G84" s="299" t="s">
        <v>2483</v>
      </c>
      <c r="H84" s="198"/>
      <c r="I84" s="124"/>
    </row>
    <row r="85" spans="3:9" ht="18">
      <c r="C85" s="291" t="s">
        <v>2484</v>
      </c>
      <c r="D85" s="291" t="str">
        <f>TT_LOCK(5)</f>
        <v/>
      </c>
      <c r="E85" s="299"/>
      <c r="F85" s="198"/>
      <c r="G85" s="299"/>
      <c r="H85" s="198"/>
      <c r="I85" s="124"/>
    </row>
    <row r="86" spans="3:9" ht="18">
      <c r="C86" s="291" t="s">
        <v>2485</v>
      </c>
      <c r="D86" s="291" t="str">
        <f>TT_LOCK(5)</f>
        <v/>
      </c>
      <c r="E86" s="299"/>
      <c r="F86" s="198"/>
      <c r="G86" s="299"/>
      <c r="H86" s="198"/>
      <c r="I86" s="124"/>
    </row>
    <row r="87" spans="3:9" ht="15">
      <c r="C87" s="291" t="s">
        <v>2486</v>
      </c>
      <c r="D87" s="291" t="str">
        <f>TT_LOCK(5)</f>
        <v/>
      </c>
      <c r="E87" s="291"/>
      <c r="F87" s="132"/>
      <c r="G87" s="291"/>
      <c r="H87" s="132"/>
      <c r="I87" s="124"/>
    </row>
    <row r="88" spans="3:9" ht="18">
      <c r="C88" s="291" t="s">
        <v>2487</v>
      </c>
      <c r="D88" s="291" t="str">
        <f>TT_LOCK(5)</f>
        <v/>
      </c>
      <c r="E88" s="299"/>
      <c r="F88" s="198"/>
      <c r="G88" s="299"/>
      <c r="H88" s="198"/>
      <c r="I88" s="124"/>
    </row>
    <row r="89" spans="3:9" ht="18">
      <c r="C89" s="291" t="str">
        <f>TT_CFG("Environment")</f>
        <v>Environment</v>
      </c>
      <c r="D89" s="299" t="s">
        <v>661</v>
      </c>
      <c r="E89" s="351"/>
      <c r="F89" s="352"/>
      <c r="G89" s="351"/>
      <c r="H89" s="352"/>
      <c r="I89" s="124"/>
    </row>
    <row r="90" spans="3:9" ht="18">
      <c r="C90" s="135" t="str">
        <f>TT_CASE("WWAN BIOS Lock -- Starting from SI2", -1, 1)</f>
        <v xml:space="preserve"> WWAN BIOS Lock -- Starting from SI2</v>
      </c>
      <c r="D90" s="136" t="str">
        <f>TT_CYCLE(-1)</f>
        <v>●</v>
      </c>
      <c r="E90" s="137" t="str">
        <f>TT_TR("X", "", "")</f>
        <v>●</v>
      </c>
      <c r="F90" s="198" t="s">
        <v>2991</v>
      </c>
      <c r="G90" s="137" t="str">
        <f>TT_TR("X", "", "")</f>
        <v>●</v>
      </c>
      <c r="H90" s="198" t="s">
        <v>2721</v>
      </c>
      <c r="I90" s="124"/>
    </row>
    <row r="91" spans="3:9" ht="36">
      <c r="C91" s="142" t="str">
        <f>TT_SUITE("PCCS Requirements and Manufacturing Mode (Factory Control Mode)", -1, 1)</f>
        <v>▼ PCCS Requirements and Manufacturing Mode (Factory Control Mode)</v>
      </c>
      <c r="D91" s="224" t="str">
        <f>TT_ROLLUP(-1, D91, D91)</f>
        <v/>
      </c>
      <c r="E91" s="225" t="str">
        <f>TT_ROLLUP(-1, E91, E91)</f>
        <v/>
      </c>
      <c r="F91" s="198"/>
      <c r="G91" s="225" t="str">
        <f>TT_ROLLUP(-1, G91, G91)</f>
        <v/>
      </c>
      <c r="H91" s="198"/>
      <c r="I91" s="124"/>
    </row>
    <row r="92" spans="3:9" ht="18">
      <c r="C92" s="291" t="s">
        <v>153</v>
      </c>
      <c r="D92" s="299" t="str">
        <f>TT_LOCK(5)</f>
        <v/>
      </c>
      <c r="E92" s="299" t="s">
        <v>2483</v>
      </c>
      <c r="F92" s="198"/>
      <c r="G92" s="299" t="s">
        <v>2483</v>
      </c>
      <c r="H92" s="198"/>
      <c r="I92" s="124"/>
    </row>
    <row r="93" spans="3:9" ht="18">
      <c r="C93" s="291" t="s">
        <v>2484</v>
      </c>
      <c r="D93" s="291" t="str">
        <f>TT_LOCK(5)</f>
        <v/>
      </c>
      <c r="E93" s="299"/>
      <c r="F93" s="198"/>
      <c r="G93" s="299"/>
      <c r="H93" s="198"/>
      <c r="I93" s="124"/>
    </row>
    <row r="94" spans="3:9" ht="18">
      <c r="C94" s="291" t="s">
        <v>2485</v>
      </c>
      <c r="D94" s="291" t="str">
        <f>TT_LOCK(5)</f>
        <v/>
      </c>
      <c r="E94" s="299"/>
      <c r="F94" s="198"/>
      <c r="G94" s="299"/>
      <c r="H94" s="198"/>
      <c r="I94" s="124"/>
    </row>
    <row r="95" spans="3:9" ht="15">
      <c r="C95" s="291" t="s">
        <v>2486</v>
      </c>
      <c r="D95" s="291" t="str">
        <f>TT_LOCK(5)</f>
        <v/>
      </c>
      <c r="E95" s="291"/>
      <c r="F95" s="132"/>
      <c r="G95" s="291"/>
      <c r="H95" s="132"/>
      <c r="I95" s="124"/>
    </row>
    <row r="96" spans="3:9" ht="18">
      <c r="C96" s="291" t="s">
        <v>2487</v>
      </c>
      <c r="D96" s="291" t="str">
        <f>TT_LOCK(5)</f>
        <v/>
      </c>
      <c r="E96" s="299"/>
      <c r="F96" s="198"/>
      <c r="G96" s="299"/>
      <c r="H96" s="198"/>
      <c r="I96" s="124"/>
    </row>
    <row r="97" spans="3:11" ht="18">
      <c r="C97" s="291" t="str">
        <f>TT_CFG("Environment")</f>
        <v>Environment</v>
      </c>
      <c r="D97" s="299" t="s">
        <v>661</v>
      </c>
      <c r="E97" s="351"/>
      <c r="F97" s="352"/>
      <c r="G97" s="351" t="s">
        <v>2953</v>
      </c>
      <c r="H97" s="352"/>
      <c r="I97" s="124"/>
    </row>
    <row r="98" spans="3:11" ht="18">
      <c r="C98" s="135" t="str">
        <f>TT_CASE("Last Post Error Code", -1, 1)</f>
        <v xml:space="preserve"> Last Post Error Code</v>
      </c>
      <c r="D98" s="278" t="str">
        <f>TT_CYCLE(-1)</f>
        <v>NA</v>
      </c>
      <c r="E98" s="360"/>
      <c r="F98" s="198"/>
      <c r="G98" s="279" t="str">
        <f>TT_TR("NA", "", "Ram couldn't be removed")</f>
        <v>NA</v>
      </c>
      <c r="H98" s="198" t="s">
        <v>2960</v>
      </c>
      <c r="I98" s="124"/>
    </row>
    <row r="99" spans="3:11">
      <c r="E99" s="139"/>
      <c r="F99" s="122"/>
      <c r="G99" s="139"/>
      <c r="H99" s="122"/>
    </row>
    <row r="100" spans="3:11">
      <c r="C100" s="148"/>
      <c r="D100" s="125"/>
      <c r="E100" s="125"/>
      <c r="G100" s="125"/>
    </row>
    <row r="101" spans="3:11">
      <c r="C101" s="149"/>
      <c r="D101" s="125"/>
      <c r="E101" s="125"/>
      <c r="G101" s="125"/>
    </row>
    <row r="102" spans="3:11">
      <c r="C102" s="150" t="s">
        <v>424</v>
      </c>
      <c r="D102" s="151"/>
      <c r="E102" s="152"/>
      <c r="F102" s="132"/>
      <c r="G102" s="152"/>
      <c r="H102" s="132"/>
      <c r="J102" s="332" t="s">
        <v>151</v>
      </c>
      <c r="K102" s="328"/>
    </row>
    <row r="103" spans="3:11">
      <c r="C103" s="153" t="s">
        <v>97</v>
      </c>
      <c r="D103" s="154">
        <f>INT(TT_COUNT(D$2:D102, -1, "*"))</f>
        <v>21</v>
      </c>
      <c r="E103" s="154">
        <f>INT(TT_COUNT(E$2:E102, -1, "*"))</f>
        <v>21</v>
      </c>
      <c r="F103" s="132"/>
      <c r="G103" s="154">
        <f>INT(TT_COUNT(G$2:G102, -1, "*"))</f>
        <v>21</v>
      </c>
      <c r="H103" s="132"/>
      <c r="J103" s="327">
        <f>SUM($D103:H103)-D103</f>
        <v>42</v>
      </c>
      <c r="K103" s="328"/>
    </row>
    <row r="104" spans="3:11" ht="12" customHeight="1">
      <c r="C104" s="153" t="s">
        <v>96</v>
      </c>
      <c r="D104" s="154">
        <f>INT(TT_COUNT(D$2:D102, -1))</f>
        <v>21</v>
      </c>
      <c r="E104" s="155">
        <f>INT(TT_COUNT(E$2:E102, -1))</f>
        <v>18</v>
      </c>
      <c r="F104" s="132"/>
      <c r="G104" s="155">
        <f>INT(TT_COUNT(G$2:G102, -1))</f>
        <v>21</v>
      </c>
      <c r="H104" s="132"/>
      <c r="J104" s="327">
        <f>SUM($D104:H104)-D104</f>
        <v>39</v>
      </c>
      <c r="K104" s="328"/>
    </row>
    <row r="105" spans="3:11">
      <c r="C105" s="153" t="s">
        <v>150</v>
      </c>
      <c r="D105" s="154">
        <f>D104-TT_COUNT(D$2:D102, -1, "P")-TT_COUNT(D$2:D102, -1, "F")-TT_COUNT(D$2:D102, -1, "I")-TT_COUNT(D$2:D102, -1, "B")-TT_COUNT(D$2:D102, -1, "NA")</f>
        <v>18</v>
      </c>
      <c r="E105" s="155">
        <f>E104-TT_COUNT(E$2:E102, -1, "P")-TT_COUNT(E$2:E102, -1, "F")-TT_COUNT(E$2:E102, -1, "I")-TT_COUNT(E$2:E102, -1, "B")-TT_COUNT(E$2:E102, -1, "NA")</f>
        <v>18</v>
      </c>
      <c r="F105" s="132"/>
      <c r="G105" s="155">
        <f>G104-TT_COUNT(G$2:G102, -1, "P")-TT_COUNT(G$2:G102, -1, "F")-TT_COUNT(G$2:G102, -1, "I")-TT_COUNT(G$2:G102, -1, "B")-TT_COUNT(G$2:G102, -1, "NA")</f>
        <v>18</v>
      </c>
      <c r="H105" s="132"/>
      <c r="J105" s="327">
        <f>SUM($D105:H105)-D105</f>
        <v>36</v>
      </c>
      <c r="K105" s="328"/>
    </row>
    <row r="106" spans="3:11">
      <c r="C106" s="156"/>
    </row>
    <row r="107" spans="3:11">
      <c r="C107" s="157" t="s">
        <v>89</v>
      </c>
      <c r="D107" s="158" t="str">
        <f>TT_COUNT(D$2:D102, -1, "P", D104)</f>
        <v>2 (9.5%)</v>
      </c>
      <c r="E107" s="155" t="str">
        <f>TT_COUNT(E$2:E102, -1, "P", E104)</f>
        <v>0 (0.0%)</v>
      </c>
      <c r="F107" s="146"/>
      <c r="G107" s="155" t="str">
        <f>TT_COUNT(G$2:G102, -1, "P", G104)</f>
        <v>2 (9.5%)</v>
      </c>
      <c r="H107" s="146"/>
      <c r="J107" s="159">
        <f t="array" ref="J107">SUM(INT(IF(LEN($D107:H107)&gt;1,LEFT($D107:H107,FIND("(",$D107:H107)-1),0)))-IF(LEN($D107)&gt;1,LEFT($D107,FIND("(",$D107)-1),0)</f>
        <v>2</v>
      </c>
      <c r="K107" s="160">
        <f>IF(J104&gt;0, J107/J104,0)</f>
        <v>5.128205128205128E-2</v>
      </c>
    </row>
    <row r="108" spans="3:11">
      <c r="C108" s="161" t="s">
        <v>90</v>
      </c>
      <c r="D108" s="162" t="str">
        <f>TT_COUNT(D$2:D102, -1, "F", D104)</f>
        <v>0 (0.0%)</v>
      </c>
      <c r="E108" s="162" t="str">
        <f>TT_COUNT(E$2:E102, -1, "F", E104)</f>
        <v>0 (0.0%)</v>
      </c>
      <c r="F108" s="146"/>
      <c r="G108" s="162" t="str">
        <f>TT_COUNT(G$2:G102, -1, "F", G104)</f>
        <v>0 (0.0%)</v>
      </c>
      <c r="H108" s="146"/>
      <c r="J108" s="163">
        <f t="array" ref="J108">SUM(INT(IF(LEN($D108:H108)&gt;1,LEFT($D108:H108,FIND("(",$D108:H108)-1),0)))-IF(LEN($D108)&gt;1,LEFT($D108,FIND("(",$D108)-1),0)</f>
        <v>0</v>
      </c>
      <c r="K108" s="164">
        <f>IF(J104&gt;0, J108/J104,0)</f>
        <v>0</v>
      </c>
    </row>
    <row r="109" spans="3:11">
      <c r="C109" s="165" t="s">
        <v>91</v>
      </c>
      <c r="D109" s="155" t="str">
        <f>TT_COUNT(D$2:D102, -1, "I", D104)</f>
        <v>0 (0.0%)</v>
      </c>
      <c r="E109" s="155" t="str">
        <f>TT_COUNT(E$2:E102, -1, "I", E104)</f>
        <v>0 (0.0%)</v>
      </c>
      <c r="F109" s="146"/>
      <c r="G109" s="155" t="str">
        <f>TT_COUNT(G$2:G102, -1, "I", G104)</f>
        <v>0 (0.0%)</v>
      </c>
      <c r="H109" s="146"/>
      <c r="J109" s="159">
        <f t="array" ref="J109">SUM(INT(IF(LEN($D109:H109)&gt;1,LEFT($D109:H109,FIND("(",$D109:H109)-1),0)))-IF(LEN($D109)&gt;1,LEFT($D109,FIND("(",$D109)-1),0)</f>
        <v>0</v>
      </c>
      <c r="K109" s="160">
        <f>IF(J104&gt;0, J109/J104,0)</f>
        <v>0</v>
      </c>
    </row>
    <row r="110" spans="3:11">
      <c r="C110" s="166" t="s">
        <v>92</v>
      </c>
      <c r="D110" s="155" t="str">
        <f>TT_COUNT(D$2:D102, -1, "B", D104)</f>
        <v>0 (0.0%)</v>
      </c>
      <c r="E110" s="155" t="str">
        <f>TT_COUNT(E$2:E102, -1, "B", E104)</f>
        <v>0 (0.0%)</v>
      </c>
      <c r="F110" s="146"/>
      <c r="G110" s="155" t="str">
        <f>TT_COUNT(G$2:G102, -1, "B", G104)</f>
        <v>0 (0.0%)</v>
      </c>
      <c r="H110" s="146"/>
      <c r="J110" s="159">
        <f t="array" ref="J110">SUM(INT(IF(LEN($D110:H110)&gt;1,LEFT($D110:H110,FIND("(",$D110:H110)-1),0)))-IF(LEN($D110)&gt;1,LEFT($D110,FIND("(",$D110)-1),0)</f>
        <v>0</v>
      </c>
      <c r="K110" s="160">
        <f>IF(J104&gt;0, J110/J104,0)</f>
        <v>0</v>
      </c>
    </row>
    <row r="111" spans="3:11">
      <c r="C111" s="167" t="s">
        <v>95</v>
      </c>
      <c r="D111" s="155" t="str">
        <f>TT_COUNT(D$2:D102, -1, "NA", D104)</f>
        <v>1 (4.8%)</v>
      </c>
      <c r="E111" s="155" t="str">
        <f>TT_COUNT(E$2:E102, -1, "NA", E104)</f>
        <v>0 (0.0%)</v>
      </c>
      <c r="F111" s="146"/>
      <c r="G111" s="155" t="str">
        <f>TT_COUNT(G$2:G102, -1, "NA", G104)</f>
        <v>1 (4.8%)</v>
      </c>
      <c r="H111" s="146"/>
      <c r="J111" s="159">
        <f t="array" ref="J111">SUM(INT(IF(LEN($D111:H111)&gt;1,LEFT($D111:H111,FIND("(",$D111:H111)-1),0)))-IF(LEN($D111)&gt;1,LEFT($D111,FIND("(",$D111)-1),0)</f>
        <v>1</v>
      </c>
      <c r="K111" s="160">
        <f>IF(J104&gt;0, J111/J104,0)</f>
        <v>2.564102564102564E-2</v>
      </c>
    </row>
    <row r="112" spans="3:11">
      <c r="C112" s="156"/>
      <c r="D112" s="168"/>
      <c r="E112" s="168"/>
      <c r="G112" s="168"/>
    </row>
    <row r="113" spans="3:11">
      <c r="C113" s="169" t="s">
        <v>93</v>
      </c>
      <c r="D113" s="155" t="str">
        <f>TT_COUNT(D$2:D102, -1, "NP", D103)</f>
        <v>0 (0.0%)</v>
      </c>
      <c r="E113" s="155" t="str">
        <f>TT_COUNT(E$2:E102, -1, "NP", E103)</f>
        <v>0 (0.0%)</v>
      </c>
      <c r="F113" s="132"/>
      <c r="G113" s="155" t="str">
        <f>TT_COUNT(G$2:G102, -1, "NP", G103)</f>
        <v>0 (0.0%)</v>
      </c>
      <c r="H113" s="132"/>
      <c r="J113" s="159">
        <f t="array" ref="J113">SUM(INT(IF(LEN($D113:H113)&gt;1,LEFT($D113:H113,FIND("(",$D113:H113)-1),0)))-IF(LEN($D113)&gt;1,LEFT($D113,FIND("(",$D113)-1),0)</f>
        <v>0</v>
      </c>
      <c r="K113" s="160">
        <f>IF(J103&gt;0, J113/J103,0)</f>
        <v>0</v>
      </c>
    </row>
    <row r="114" spans="3:11">
      <c r="C114" s="170" t="s">
        <v>94</v>
      </c>
      <c r="D114" s="155" t="str">
        <f>TT_COUNT(D$2:D102, -1, "NS", D103)</f>
        <v>0 (0.0%)</v>
      </c>
      <c r="E114" s="155" t="str">
        <f>TT_COUNT(E$2:E102, -1, "NS", E103)</f>
        <v>0 (0.0%)</v>
      </c>
      <c r="F114" s="132"/>
      <c r="G114" s="155" t="str">
        <f>TT_COUNT(G$2:G102, -1, "NS", G103)</f>
        <v>0 (0.0%)</v>
      </c>
      <c r="H114" s="132"/>
      <c r="J114" s="159">
        <f t="array" ref="J114">SUM(INT(IF(LEN($D114:H114)&gt;1,LEFT($D114:H114,FIND("(",$D114:H114)-1),0)))-IF(LEN($D114)&gt;1,LEFT($D114,FIND("(",$D114)-1),0)</f>
        <v>0</v>
      </c>
      <c r="K114" s="160">
        <f>IF(J103&gt;0, J114/J103,0)</f>
        <v>0</v>
      </c>
    </row>
  </sheetData>
  <sheetProtection password="CF6D" sheet="1" objects="1" scenarios="1"/>
  <dataConsolidate/>
  <mergeCells count="78">
    <mergeCell ref="E97:F97"/>
    <mergeCell ref="E42:F42"/>
    <mergeCell ref="E54:F54"/>
    <mergeCell ref="E72:F72"/>
    <mergeCell ref="E80:F80"/>
    <mergeCell ref="E89:F89"/>
    <mergeCell ref="E29:F29"/>
    <mergeCell ref="E30:F30"/>
    <mergeCell ref="E31:F31"/>
    <mergeCell ref="E32:F32"/>
    <mergeCell ref="E33:F33"/>
    <mergeCell ref="E24:F24"/>
    <mergeCell ref="E25:F25"/>
    <mergeCell ref="E26:F26"/>
    <mergeCell ref="E27:F27"/>
    <mergeCell ref="E28:F28"/>
    <mergeCell ref="E19:F19"/>
    <mergeCell ref="E20:F20"/>
    <mergeCell ref="E21:F21"/>
    <mergeCell ref="E22:F22"/>
    <mergeCell ref="E23:F23"/>
    <mergeCell ref="E14:F14"/>
    <mergeCell ref="E15:F15"/>
    <mergeCell ref="E16:F16"/>
    <mergeCell ref="E17:F17"/>
    <mergeCell ref="E18:F18"/>
    <mergeCell ref="E9:F9"/>
    <mergeCell ref="E10:F10"/>
    <mergeCell ref="E11:F11"/>
    <mergeCell ref="E12:F12"/>
    <mergeCell ref="E13:F13"/>
    <mergeCell ref="E3:F3"/>
    <mergeCell ref="E4:F4"/>
    <mergeCell ref="E5:F5"/>
    <mergeCell ref="E7:F7"/>
    <mergeCell ref="E8:F8"/>
    <mergeCell ref="G15:H15"/>
    <mergeCell ref="G16:H16"/>
    <mergeCell ref="G17:H17"/>
    <mergeCell ref="G9:H9"/>
    <mergeCell ref="G3:H3"/>
    <mergeCell ref="G4:H4"/>
    <mergeCell ref="G5:H5"/>
    <mergeCell ref="G7:H7"/>
    <mergeCell ref="G8:H8"/>
    <mergeCell ref="G10:H10"/>
    <mergeCell ref="G11:H11"/>
    <mergeCell ref="G12:H12"/>
    <mergeCell ref="G13:H13"/>
    <mergeCell ref="G14:H14"/>
    <mergeCell ref="I17:J17"/>
    <mergeCell ref="G18:H18"/>
    <mergeCell ref="I18:J18"/>
    <mergeCell ref="G31:H31"/>
    <mergeCell ref="G20:H20"/>
    <mergeCell ref="G21:H21"/>
    <mergeCell ref="G22:H22"/>
    <mergeCell ref="G23:H23"/>
    <mergeCell ref="G24:H24"/>
    <mergeCell ref="G25:H25"/>
    <mergeCell ref="G26:H26"/>
    <mergeCell ref="G27:H27"/>
    <mergeCell ref="G28:H28"/>
    <mergeCell ref="G29:H29"/>
    <mergeCell ref="G30:H30"/>
    <mergeCell ref="G19:H19"/>
    <mergeCell ref="J105:K105"/>
    <mergeCell ref="G32:H32"/>
    <mergeCell ref="G33:H33"/>
    <mergeCell ref="G42:H42"/>
    <mergeCell ref="G54:H54"/>
    <mergeCell ref="G72:H72"/>
    <mergeCell ref="G80:H80"/>
    <mergeCell ref="G89:H89"/>
    <mergeCell ref="G97:H97"/>
    <mergeCell ref="J102:K102"/>
    <mergeCell ref="J103:K103"/>
    <mergeCell ref="J104:K104"/>
  </mergeCells>
  <phoneticPr fontId="37" type="noConversion"/>
  <dataValidations count="32">
    <dataValidation type="list" allowBlank="1" showInputMessage="1" showErrorMessage="1" errorTitle="Selection Required" error="Please select one of the entries from the list." sqref="H97 H80 H54 H72:H73 H89 H42 F97 F80 F54 F72:F73 F89 F42">
      <formula1>CFG_32Bit_Os</formula1>
    </dataValidation>
    <dataValidation type="list" allowBlank="1" showInputMessage="1" showErrorMessage="1" errorTitle="Selection Required" error="Please select one of the entries from the list." sqref="G97 G89 G80 G72 G54 G42 E97 E89 E80 E72 E54 E42">
      <formula1>CFG_Environment</formula1>
    </dataValidation>
    <dataValidation type="list" allowBlank="1" showInputMessage="1" errorTitle="Selection Required" error="Please select one of the entries from the list." sqref="G7 E7">
      <formula1>CFG_UserLabel_</formula1>
    </dataValidation>
    <dataValidation type="list" allowBlank="1" showInputMessage="1" errorTitle="Selection Required" error="Please select one of the entries from the list." prompt="Enter additional items as needed" sqref="G8 E8">
      <formula1>CFG_Unit_Id_</formula1>
    </dataValidation>
    <dataValidation type="list" allowBlank="1" showInputMessage="1" showErrorMessage="1" errorTitle="Selection Required" error="Please select one of the entries from the list." sqref="G9 E9">
      <formula1>CFG_System_Board</formula1>
    </dataValidation>
    <dataValidation type="list" allowBlank="1" showInputMessage="1" errorTitle="Selection Required" error="Please select one of the entries from the list." prompt="Enter additional items as needed" sqref="G10 E10">
      <formula1>CFG_Processor_</formula1>
    </dataValidation>
    <dataValidation type="list" allowBlank="1" showInputMessage="1" showErrorMessage="1" errorTitle="Selection Required" error="Please select one of the entries from the list." sqref="E11:H11">
      <formula1>CFG_Video_Architecture</formula1>
    </dataValidation>
    <dataValidation type="list" allowBlank="1" showInputMessage="1" showErrorMessage="1" errorTitle="Selection Required" error="Please select one of the entries from the list." sqref="E12:H12">
      <formula1>CFG_Graphics</formula1>
    </dataValidation>
    <dataValidation type="list" allowBlank="1" showInputMessage="1" showErrorMessage="1" errorTitle="Selection Required" error="Please select one of the entries from the list." sqref="G13 E13">
      <formula1>CFG_Vram</formula1>
    </dataValidation>
    <dataValidation type="list" allowBlank="1" showInputMessage="1" errorTitle="Selection Required" error="Please select one of the entries from the list." prompt="Enter additional items as needed" sqref="G14 E14">
      <formula1>CFG_Display_Panel_</formula1>
    </dataValidation>
    <dataValidation type="list" allowBlank="1" showInputMessage="1" errorTitle="Selection Required" error="Please select one of the entries from the list." prompt="Enter additional items as needed" sqref="G15 E15">
      <formula1>CFG_Memory_Slot_1_</formula1>
    </dataValidation>
    <dataValidation type="list" allowBlank="1" showInputMessage="1" errorTitle="Selection Required" error="Please select one of the entries from the list." prompt="Enter additional items as needed" sqref="G16 E16">
      <formula1>CFG_Memory_Slot_2_</formula1>
    </dataValidation>
    <dataValidation type="list" allowBlank="1" showInputMessage="1" errorTitle="Selection Required" error="Please select one of the entries from the list." prompt="Enter additional items as needed" sqref="I17 G17 E17">
      <formula1>CFG_Memory_Slot_3_</formula1>
    </dataValidation>
    <dataValidation type="list" allowBlank="1" showInputMessage="1" errorTitle="Selection Required" error="Please select one of the entries from the list." prompt="Enter additional items as needed" sqref="I18 G18 E18">
      <formula1>CFG_Memory_Slot_4_</formula1>
    </dataValidation>
    <dataValidation type="list" allowBlank="1" showInputMessage="1" errorTitle="Selection Required" error="Please select one of the entries from the list." prompt="Enter additional items as needed" sqref="G19 E19">
      <formula1>CFG_Hard_Drive_</formula1>
    </dataValidation>
    <dataValidation type="list" allowBlank="1" showInputMessage="1" showErrorMessage="1" errorTitle="Selection Required" error="Please select one of the entries from the list." sqref="G20 E20">
      <formula1>CFG_Bluetooth_Module</formula1>
    </dataValidation>
    <dataValidation type="list" allowBlank="1" showInputMessage="1" errorTitle="Selection Required" error="Please select one of the entries from the list." prompt="Enter additional items as needed" sqref="G21 E21">
      <formula1>CFG_Wireless_Lan_</formula1>
    </dataValidation>
    <dataValidation type="list" allowBlank="1" showInputMessage="1" errorTitle="Selection Required" error="Please select one of the entries from the list." prompt="Enter additional items as needed" sqref="G22 E22">
      <formula1>CFG_Wireless_Wan_</formula1>
    </dataValidation>
    <dataValidation type="list" allowBlank="1" showInputMessage="1" showErrorMessage="1" errorTitle="Selection Required" error="Please select one of the entries from the list." sqref="G23 E23">
      <formula1>CFG_Wired_Nic</formula1>
    </dataValidation>
    <dataValidation type="list" allowBlank="1" showInputMessage="1" showErrorMessage="1" errorTitle="Selection Required" error="Please select one of the entries from the list." sqref="G24 E24">
      <formula1>CFG_Modem</formula1>
    </dataValidation>
    <dataValidation type="list" allowBlank="1" showInputMessage="1" errorTitle="Selection Required" error="Please select one of the entries from the list." prompt="Enter additional items as needed" sqref="E25:H25">
      <formula1>CFG_Camera_</formula1>
    </dataValidation>
    <dataValidation type="list" allowBlank="1" showInputMessage="1" showErrorMessage="1" errorTitle="Selection Required" error="Please select one of the entries from the list." sqref="G26 E26">
      <formula1>CFG_Fingerprint_Reader</formula1>
    </dataValidation>
    <dataValidation type="list" allowBlank="1" showInputMessage="1" errorTitle="Selection Required" error="Please select one of the entries from the list." prompt="Enter additional items as needed" sqref="E27:H27">
      <formula1>CFG_Unit_Upgrade_Bay_Device_</formula1>
    </dataValidation>
    <dataValidation type="list" allowBlank="1" showInputMessage="1" errorTitle="Selection Required" error="Please select one of the entries from the list." prompt="Enter additional items as needed" sqref="G28 E28">
      <formula1>CFG_Dock_Type_</formula1>
    </dataValidation>
    <dataValidation type="list" allowBlank="1" showInputMessage="1" errorTitle="Selection Required" error="Please select one of the entries from the list." prompt="Enter additional items as needed" sqref="G29 E29">
      <formula1>CFG_Dock_Bay_Device_</formula1>
    </dataValidation>
    <dataValidation type="list" allowBlank="1" showInputMessage="1" showErrorMessage="1" errorTitle="Selection Required" error="Please select one of the entries from the list." sqref="G30 E30">
      <formula1>CFG_Touchpad_Pointstick_Combo</formula1>
    </dataValidation>
    <dataValidation type="list" allowBlank="1" showInputMessage="1" showErrorMessage="1" errorTitle="Selection Required" error="Please select one of the entries from the list." sqref="G31 E31">
      <formula1>CFG_Keyboard</formula1>
    </dataValidation>
    <dataValidation type="list" allowBlank="1" showInputMessage="1" errorTitle="Selection Required" error="Please select one of the entries from the list." prompt="Enter additional items as needed" sqref="G32 E32">
      <formula1>CFG_Unit_Battery_</formula1>
    </dataValidation>
    <dataValidation type="list" allowBlank="1" showInputMessage="1" errorTitle="Selection Required" error="Please select one of the entries from the list." prompt="Enter additional items as needed" sqref="G33 E33">
      <formula1>CFG_Travel_Battery_</formula1>
    </dataValidation>
    <dataValidation type="list" allowBlank="1" showInputMessage="1" errorTitle="Selection Required" error="Please select one of the entries from the list." prompt="Enter additional items as needed" sqref="G3 E3">
      <formula1>CFG_System_Bios_</formula1>
    </dataValidation>
    <dataValidation type="list" allowBlank="1" showInputMessage="1" errorTitle="Selection Required" error="Please select one of the entries from the list." prompt="Enter additional items as needed" sqref="G4 E4">
      <formula1>CFG_Kbc_</formula1>
    </dataValidation>
    <dataValidation type="list" allowBlank="1" showInputMessage="1" errorTitle="Selection Required" error="Please select one of the entries from the list." prompt="Enter additional items as needed" sqref="G5 E5">
      <formula1>CFG_Me_Version_</formula1>
    </dataValidation>
  </dataValidations>
  <hyperlinks>
    <hyperlink ref="C61" r:id="rId1" location="WMI_Stress" display="WMI stress - Public and Private WMI calls"/>
    <hyperlink ref="C98" r:id="rId2" location="LAST_POST_ERROR_CODE" display="BIOS Test Plan.doc - LAST_POST_ERROR_CODE"/>
    <hyperlink ref="C55" r:id="rId3" location="PANEL_EDID_WMI" display="BIOS DTI"/>
    <hyperlink ref="C82" r:id="rId4" location="EFI_SIGNED_APP" display="Launch HP Signed EFI deliverables"/>
    <hyperlink ref="C57" r:id="rId5" location="HPQFLASH_W_HD_ACTIVITY" display="BIOS TEST PLAN.doc - HPQFLASH_W_HD_ACTIVITY"/>
    <hyperlink ref="C90" r:id="rId6" location="SUP_OS_WWAN_LOCK" display="BIOS TEST PLAN.doc - SUP_OS_WWAN_LOCK"/>
    <hyperlink ref="C56" r:id="rId7" location="WMI_KEYBOARD_BACKLIT" display="BIOS TEST PLAN.doc - WMI_KEYBOARD_BACKLIT"/>
    <hyperlink ref="C81" r:id="rId8" location="COMMIT_VPRO_EFI_ENVIROMENT" display="BIOS Test Plan.doc - COMMIT_VPRO_EFI_ENVIROMENT"/>
    <hyperlink ref="C59" r:id="rId9" location="HPQFLASH_VALIDATE_BOOTBLOCK" display="BIOS TEST PLAN.doc - HPQFLASH_VALIDATE_BOOTBLOCK"/>
    <hyperlink ref="C60" r:id="rId10" location="WMI_BIOS_FLASH_2012" display="BIOS DTI"/>
    <hyperlink ref="C58" r:id="rId11" location="HPQFLASH_W_HD_ACTIVITY_DELAY_MODE" display="BIOS TEST PLAN.doc - HPQFLASH_W_HD_ACTIVITY_DELAY_MODE"/>
    <hyperlink ref="C62" r:id="rId12" location="WMI_BIOS_BACKUP_STRESS" display="BIOS Test Plan.doc - WMI_BIOS_BACKUP_STRESS"/>
    <hyperlink ref="C64" r:id="rId13" location="NVS_RECLAIM" display="BIOS DTI"/>
    <hyperlink ref="C63" r:id="rId14" location="WMI_BIOS_BACKUP_STRESS_GPT" display="BIOS Test Plan.doc - WMI_BIOS_BACKUP_STRESS_GPT"/>
    <hyperlink ref="C45" r:id="rId15" location="KBC_OCP" display="BIOS Test Plan.doc - KBC_OCP"/>
    <hyperlink ref="C44" r:id="rId16" location="SUP_OS_POWER_STATUS_UP_DOWN" display="BIOS DTI"/>
    <hyperlink ref="C46" r:id="rId17" location="KBC_FN_NUMBERING" display="BIOS DTI"/>
    <hyperlink ref="C43" r:id="rId18" location="BATT_INFORMATION_WMI" display="BIOS DTI"/>
    <hyperlink ref="C65" r:id="rId19" location="ACC_ISCT_LONG_RUN" display="BIOS Test Plan.doc - ACC_ISCT_LONG_RUN"/>
    <hyperlink ref="C73" r:id="rId20" location="OLE_LINK41_x0009_1,428506,428559,3,,ACCEPTANCE – Verify System Defau" display="ACCEPTANCE – Verify System Default Settings (WinPVT)"/>
    <hyperlink ref="C47" r:id="rId21" location="BREATHING_LED" display="BIOS DTI"/>
  </hyperlinks>
  <pageMargins left="0.25" right="0.25" top="0.5" bottom="0.75" header="0.25" footer="0.25"/>
  <pageSetup scale="94" fitToHeight="100" orientation="landscape" r:id="rId22"/>
  <headerFooter alignWithMargins="0">
    <oddHeader>&amp;L&amp;8&amp;A&amp;R&amp;8&amp;F</oddHeader>
    <oddFooter>&amp;C&amp;"Arial,Bold"- HP CONFIDENTIAL -&amp;R&amp;8Page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Configurations"/>
  <dimension ref="A1:BA203"/>
  <sheetViews>
    <sheetView topLeftCell="V200" workbookViewId="0"/>
  </sheetViews>
  <sheetFormatPr defaultRowHeight="12.75"/>
  <cols>
    <col min="1" max="1" width="4.140625" hidden="1" customWidth="1"/>
    <col min="2" max="2" width="13.28515625" hidden="1" customWidth="1"/>
    <col min="3" max="3" width="14.140625" hidden="1" customWidth="1"/>
    <col min="4" max="4" width="13.28515625" hidden="1" customWidth="1"/>
    <col min="5" max="5" width="14.140625" hidden="1" customWidth="1"/>
    <col min="6" max="6" width="23.42578125" hidden="1" customWidth="1"/>
    <col min="7" max="7" width="12.28515625" style="1" hidden="1" customWidth="1"/>
    <col min="8" max="8" width="22.85546875" hidden="1" customWidth="1"/>
    <col min="9" max="9" width="13.28515625" hidden="1" customWidth="1"/>
    <col min="10" max="11" width="22.85546875" hidden="1" customWidth="1"/>
    <col min="12" max="13" width="19.7109375" hidden="1" customWidth="1"/>
    <col min="14" max="14" width="23.140625" hidden="1" customWidth="1"/>
    <col min="15" max="15" width="26.85546875" hidden="1" customWidth="1"/>
    <col min="16" max="16" width="11.42578125" hidden="1" customWidth="1"/>
    <col min="17" max="17" width="14.7109375" hidden="1" customWidth="1"/>
    <col min="18" max="21" width="9.140625" hidden="1" customWidth="1"/>
    <col min="22" max="22" width="23.85546875" customWidth="1"/>
  </cols>
  <sheetData>
    <row r="1" spans="2:15" hidden="1">
      <c r="B1" s="355" t="s">
        <v>21</v>
      </c>
      <c r="C1" s="356"/>
      <c r="D1" s="356"/>
      <c r="E1" s="356"/>
      <c r="F1" s="356"/>
      <c r="G1" s="355" t="s">
        <v>5</v>
      </c>
      <c r="H1" s="356"/>
      <c r="I1" s="356"/>
      <c r="J1" s="356"/>
      <c r="K1" s="356"/>
      <c r="L1" s="1" t="s">
        <v>24</v>
      </c>
      <c r="M1" s="1" t="s">
        <v>108</v>
      </c>
      <c r="N1" s="25" t="s">
        <v>107</v>
      </c>
      <c r="O1" s="1" t="s">
        <v>42</v>
      </c>
    </row>
    <row r="2" spans="2:15" hidden="1">
      <c r="B2" s="1" t="s">
        <v>206</v>
      </c>
      <c r="C2" t="s">
        <v>185</v>
      </c>
      <c r="D2" t="b">
        <v>1</v>
      </c>
      <c r="E2" t="str">
        <f t="shared" ref="E2:E36" si="0">IF(D2=TRUE, C2, "")</f>
        <v>English</v>
      </c>
      <c r="F2" t="str">
        <f t="array" aca="1" ref="F2" ca="1">IF(ROW()-ROW($F$2:$F$36)+1&gt;ROWS($E$2:$E$36)- COUNTBLANK($E$2:$E$36),"",INDIRECT(ADDRESS(SMALL((IF($E$2:$E$36&lt;&gt;"",ROW($E$2:$E$36),ROW()+ROWS($E$2:$E$36))),ROW()-ROW($F$2:$F$36)+1),COLUMN($E$2:$E$36),4)))</f>
        <v>English</v>
      </c>
      <c r="H2" t="s">
        <v>19</v>
      </c>
      <c r="I2" t="b">
        <v>0</v>
      </c>
      <c r="J2" t="str">
        <f t="shared" ref="J2:J33" si="1">IF(I2=TRUE, H2, "")</f>
        <v/>
      </c>
      <c r="K2" t="str">
        <f t="array" aca="1" ref="K2" ca="1">IF(ROW()-ROW($K$2:$K$81)+1&gt;ROWS($J$2:$J$81)- COUNTBLANK($J$2:$J$81),"",INDIRECT(ADDRESS(SMALL((IF($J$2:$J$81&lt;&gt;"",ROW($J$2:$J$81),ROW()+ROWS($J$2:$J$81))),ROW()-ROW($K$2:$K$81)+1),COLUMN($J$2:$J$81),4)))</f>
        <v>FreeDOS</v>
      </c>
      <c r="L2" s="46" t="s">
        <v>1430</v>
      </c>
      <c r="M2" t="s">
        <v>109</v>
      </c>
      <c r="N2" t="s">
        <v>425</v>
      </c>
      <c r="O2" s="1" t="s">
        <v>43</v>
      </c>
    </row>
    <row r="3" spans="2:15" hidden="1">
      <c r="B3" s="1" t="s">
        <v>49</v>
      </c>
      <c r="C3" t="s">
        <v>186</v>
      </c>
      <c r="D3" t="b">
        <v>1</v>
      </c>
      <c r="E3" t="str">
        <f t="shared" si="0"/>
        <v>German</v>
      </c>
      <c r="F3" t="str">
        <f t="array" aca="1" ref="F3" ca="1">IF(ROW()-ROW($F$2:$F$36)+1&gt;ROWS($E$2:$E$36)- COUNTBLANK($E$2:$E$36),"",INDIRECT(ADDRESS(SMALL((IF($E$2:$E$36&lt;&gt;"",ROW($E$2:$E$36),ROW()+ROWS($E$2:$E$36))),ROW()-ROW($F$2:$F$36)+1),COLUMN($E$2:$E$36),4)))</f>
        <v>German</v>
      </c>
      <c r="H3" t="s">
        <v>19</v>
      </c>
      <c r="I3" t="b">
        <v>0</v>
      </c>
      <c r="J3" t="str">
        <f t="shared" si="1"/>
        <v/>
      </c>
      <c r="K3" t="str">
        <f t="array" aca="1" ref="K3" ca="1">IF(ROW()-ROW($K$2:$K$81)+1&gt;ROWS($J$2:$J$81)- COUNTBLANK($J$2:$J$81),"",INDIRECT(ADDRESS(SMALL((IF($J$2:$J$81&lt;&gt;"",ROW($J$2:$J$81),ROW()+ROWS($J$2:$J$81))),ROW()-ROW($K$2:$K$81)+1),COLUMN($J$2:$J$81),4)))</f>
        <v>WXP Pro</v>
      </c>
      <c r="L3" t="s">
        <v>25</v>
      </c>
      <c r="M3" t="s">
        <v>110</v>
      </c>
      <c r="N3" t="s">
        <v>124</v>
      </c>
      <c r="O3" s="1">
        <v>3</v>
      </c>
    </row>
    <row r="4" spans="2:15" hidden="1">
      <c r="B4" s="1" t="s">
        <v>50</v>
      </c>
      <c r="C4" t="s">
        <v>187</v>
      </c>
      <c r="D4" t="b">
        <v>1</v>
      </c>
      <c r="E4" t="str">
        <f t="shared" si="0"/>
        <v>French</v>
      </c>
      <c r="F4" t="str">
        <f t="array" aca="1" ref="F4" ca="1">IF(ROW()-ROW($F$2:$F$36)+1&gt;ROWS($E$2:$E$36)- COUNTBLANK($E$2:$E$36),"",INDIRECT(ADDRESS(SMALL((IF($E$2:$E$36&lt;&gt;"",ROW($E$2:$E$36),ROW()+ROWS($E$2:$E$36))),ROW()-ROW($F$2:$F$36)+1),COLUMN($E$2:$E$36),4)))</f>
        <v>French</v>
      </c>
      <c r="H4" t="s">
        <v>19</v>
      </c>
      <c r="I4" t="b">
        <v>0</v>
      </c>
      <c r="J4" t="str">
        <f t="shared" si="1"/>
        <v/>
      </c>
      <c r="K4" t="str">
        <f t="array" aca="1" ref="K4" ca="1">IF(ROW()-ROW($K$2:$K$81)+1&gt;ROWS($J$2:$J$81)- COUNTBLANK($J$2:$J$81),"",INDIRECT(ADDRESS(SMALL((IF($J$2:$J$81&lt;&gt;"",ROW($J$2:$J$81),ROW()+ROWS($J$2:$J$81))),ROW()-ROW($K$2:$K$81)+1),COLUMN($J$2:$J$81),4)))</f>
        <v>Win7 Home Basic (32)</v>
      </c>
      <c r="L4" t="s">
        <v>26</v>
      </c>
      <c r="N4" t="s">
        <v>667</v>
      </c>
    </row>
    <row r="5" spans="2:15" hidden="1">
      <c r="B5" s="1" t="s">
        <v>51</v>
      </c>
      <c r="C5" t="s">
        <v>188</v>
      </c>
      <c r="D5" t="b">
        <v>1</v>
      </c>
      <c r="E5" t="str">
        <f t="shared" si="0"/>
        <v>Italian</v>
      </c>
      <c r="F5" t="str">
        <f t="array" aca="1" ref="F5" ca="1">IF(ROW()-ROW($F$2:$F$36)+1&gt;ROWS($E$2:$E$36)- COUNTBLANK($E$2:$E$36),"",INDIRECT(ADDRESS(SMALL((IF($E$2:$E$36&lt;&gt;"",ROW($E$2:$E$36),ROW()+ROWS($E$2:$E$36))),ROW()-ROW($F$2:$F$36)+1),COLUMN($E$2:$E$36),4)))</f>
        <v>Italian</v>
      </c>
      <c r="H5" t="s">
        <v>19</v>
      </c>
      <c r="I5" t="b">
        <v>0</v>
      </c>
      <c r="J5" t="str">
        <f t="shared" si="1"/>
        <v/>
      </c>
      <c r="K5" t="str">
        <f t="array" aca="1" ref="K5" ca="1">IF(ROW()-ROW($K$2:$K$81)+1&gt;ROWS($J$2:$J$81)- COUNTBLANK($J$2:$J$81),"",INDIRECT(ADDRESS(SMALL((IF($J$2:$J$81&lt;&gt;"",ROW($J$2:$J$81),ROW()+ROWS($J$2:$J$81))),ROW()-ROW($K$2:$K$81)+1),COLUMN($J$2:$J$81),4)))</f>
        <v>Win7 Home Premium (32)</v>
      </c>
      <c r="L5" t="s">
        <v>27</v>
      </c>
      <c r="M5" s="1" t="s">
        <v>141</v>
      </c>
      <c r="N5" t="s">
        <v>111</v>
      </c>
      <c r="O5" s="1" t="s">
        <v>40</v>
      </c>
    </row>
    <row r="6" spans="2:15" hidden="1">
      <c r="B6" s="1" t="s">
        <v>207</v>
      </c>
      <c r="C6" t="s">
        <v>189</v>
      </c>
      <c r="D6" t="b">
        <v>1</v>
      </c>
      <c r="E6" t="str">
        <f t="shared" si="0"/>
        <v>LA Spanish</v>
      </c>
      <c r="F6" t="str">
        <f t="array" aca="1" ref="F6" ca="1">IF(ROW()-ROW($F$2:$F$36)+1&gt;ROWS($E$2:$E$36)- COUNTBLANK($E$2:$E$36),"",INDIRECT(ADDRESS(SMALL((IF($E$2:$E$36&lt;&gt;"",ROW($E$2:$E$36),ROW()+ROWS($E$2:$E$36))),ROW()-ROW($F$2:$F$36)+1),COLUMN($E$2:$E$36),4)))</f>
        <v>LA Spanish</v>
      </c>
      <c r="H6" t="s">
        <v>604</v>
      </c>
      <c r="I6" t="b">
        <v>0</v>
      </c>
      <c r="J6" t="str">
        <f t="shared" si="1"/>
        <v/>
      </c>
      <c r="K6" t="str">
        <f t="array" aca="1" ref="K6" ca="1">IF(ROW()-ROW($K$2:$K$81)+1&gt;ROWS($J$2:$J$81)- COUNTBLANK($J$2:$J$81),"",INDIRECT(ADDRESS(SMALL((IF($J$2:$J$81&lt;&gt;"",ROW($J$2:$J$81),ROW()+ROWS($J$2:$J$81))),ROW()-ROW($K$2:$K$81)+1),COLUMN($J$2:$J$81),4)))</f>
        <v>Win7 Pro (32)</v>
      </c>
      <c r="L6" t="s">
        <v>28</v>
      </c>
      <c r="M6" t="s">
        <v>142</v>
      </c>
      <c r="N6" t="s">
        <v>112</v>
      </c>
      <c r="O6" s="1">
        <v>2</v>
      </c>
    </row>
    <row r="7" spans="2:15" hidden="1">
      <c r="B7" s="1" t="s">
        <v>53</v>
      </c>
      <c r="C7" t="s">
        <v>190</v>
      </c>
      <c r="D7" t="b">
        <v>1</v>
      </c>
      <c r="E7" t="str">
        <f t="shared" si="0"/>
        <v>Danish</v>
      </c>
      <c r="F7" t="str">
        <f t="array" aca="1" ref="F7" ca="1">IF(ROW()-ROW($F$2:$F$36)+1&gt;ROWS($E$2:$E$36)- COUNTBLANK($E$2:$E$36),"",INDIRECT(ADDRESS(SMALL((IF($E$2:$E$36&lt;&gt;"",ROW($E$2:$E$36),ROW()+ROWS($E$2:$E$36))),ROW()-ROW($F$2:$F$36)+1),COLUMN($E$2:$E$36),4)))</f>
        <v>Danish</v>
      </c>
      <c r="G7" s="94" t="s">
        <v>73</v>
      </c>
      <c r="H7" t="s">
        <v>17</v>
      </c>
      <c r="I7" t="b">
        <v>0</v>
      </c>
      <c r="J7" t="str">
        <f t="shared" si="1"/>
        <v/>
      </c>
      <c r="K7" t="str">
        <f t="array" aca="1" ref="K7" ca="1">IF(ROW()-ROW($K$2:$K$81)+1&gt;ROWS($J$2:$J$81)- COUNTBLANK($J$2:$J$81),"",INDIRECT(ADDRESS(SMALL((IF($J$2:$J$81&lt;&gt;"",ROW($J$2:$J$81),ROW()+ROWS($J$2:$J$81))),ROW()-ROW($K$2:$K$81)+1),COLUMN($J$2:$J$81),4)))</f>
        <v>Win7 Ultimate (32)</v>
      </c>
      <c r="L7" t="s">
        <v>29</v>
      </c>
      <c r="M7" t="s">
        <v>143</v>
      </c>
      <c r="N7" t="s">
        <v>461</v>
      </c>
    </row>
    <row r="8" spans="2:15" hidden="1">
      <c r="B8" s="1" t="s">
        <v>54</v>
      </c>
      <c r="C8" t="s">
        <v>191</v>
      </c>
      <c r="D8" t="b">
        <v>1</v>
      </c>
      <c r="E8" t="str">
        <f t="shared" si="0"/>
        <v>Norwegian</v>
      </c>
      <c r="F8" t="str">
        <f t="array" aca="1" ref="F8" ca="1">IF(ROW()-ROW($F$2:$F$36)+1&gt;ROWS($E$2:$E$36)- COUNTBLANK($E$2:$E$36),"",INDIRECT(ADDRESS(SMALL((IF($E$2:$E$36&lt;&gt;"",ROW($E$2:$E$36),ROW()+ROWS($E$2:$E$36))),ROW()-ROW($F$2:$F$36)+1),COLUMN($E$2:$E$36),4)))</f>
        <v>Norwegian</v>
      </c>
      <c r="H8" t="s">
        <v>18</v>
      </c>
      <c r="I8" t="b">
        <v>1</v>
      </c>
      <c r="J8" t="str">
        <f t="shared" si="1"/>
        <v>FreeDOS</v>
      </c>
      <c r="K8" t="str">
        <f t="array" aca="1" ref="K8" ca="1">IF(ROW()-ROW($K$2:$K$81)+1&gt;ROWS($J$2:$J$81)- COUNTBLANK($J$2:$J$81),"",INDIRECT(ADDRESS(SMALL((IF($J$2:$J$81&lt;&gt;"",ROW($J$2:$J$81),ROW()+ROWS($J$2:$J$81))),ROW()-ROW($K$2:$K$81)+1),COLUMN($J$2:$J$81),4)))</f>
        <v>Win7 Enterprise (32)</v>
      </c>
      <c r="L8" t="s">
        <v>30</v>
      </c>
      <c r="N8" t="s">
        <v>135</v>
      </c>
      <c r="O8" s="1" t="s">
        <v>41</v>
      </c>
    </row>
    <row r="9" spans="2:15" hidden="1">
      <c r="B9" s="1" t="s">
        <v>55</v>
      </c>
      <c r="C9" t="s">
        <v>192</v>
      </c>
      <c r="D9" t="b">
        <v>0</v>
      </c>
      <c r="E9" t="str">
        <f t="shared" si="0"/>
        <v/>
      </c>
      <c r="F9" t="str">
        <f t="array" aca="1" ref="F9" ca="1">IF(ROW()-ROW($F$2:$F$36)+1&gt;ROWS($E$2:$E$36)- COUNTBLANK($E$2:$E$36),"",INDIRECT(ADDRESS(SMALL((IF($E$2:$E$36&lt;&gt;"",ROW($E$2:$E$36),ROW()+ROWS($E$2:$E$36))),ROW()-ROW($F$2:$F$36)+1),COLUMN($E$2:$E$36),4)))</f>
        <v>Turkish</v>
      </c>
      <c r="H9" t="s">
        <v>19</v>
      </c>
      <c r="I9" t="b">
        <v>0</v>
      </c>
      <c r="J9" t="str">
        <f t="shared" si="1"/>
        <v/>
      </c>
      <c r="K9" t="str">
        <f t="array" aca="1" ref="K9" ca="1">IF(ROW()-ROW($K$2:$K$81)+1&gt;ROWS($J$2:$J$81)- COUNTBLANK($J$2:$J$81),"",INDIRECT(ADDRESS(SMALL((IF($J$2:$J$81&lt;&gt;"",ROW($J$2:$J$81),ROW()+ROWS($J$2:$J$81))),ROW()-ROW($K$2:$K$81)+1),COLUMN($J$2:$J$81),4)))</f>
        <v>Win7 Home Basic (64)</v>
      </c>
      <c r="L9" t="s">
        <v>31</v>
      </c>
      <c r="M9" s="1" t="s">
        <v>144</v>
      </c>
      <c r="N9" s="46" t="s">
        <v>1431</v>
      </c>
      <c r="O9" s="1">
        <v>1</v>
      </c>
    </row>
    <row r="10" spans="2:15" hidden="1">
      <c r="B10" s="1" t="s">
        <v>56</v>
      </c>
      <c r="C10" t="s">
        <v>193</v>
      </c>
      <c r="D10" t="b">
        <v>1</v>
      </c>
      <c r="E10" t="str">
        <f t="shared" si="0"/>
        <v>Turkish</v>
      </c>
      <c r="F10" t="str">
        <f t="array" aca="1" ref="F10" ca="1">IF(ROW()-ROW($F$2:$F$36)+1&gt;ROWS($E$2:$E$36)- COUNTBLANK($E$2:$E$36),"",INDIRECT(ADDRESS(SMALL((IF($E$2:$E$36&lt;&gt;"",ROW($E$2:$E$36),ROW()+ROWS($E$2:$E$36))),ROW()-ROW($F$2:$F$36)+1),COLUMN($E$2:$E$36),4)))</f>
        <v>Arabic</v>
      </c>
      <c r="H10" t="s">
        <v>19</v>
      </c>
      <c r="I10" t="b">
        <v>0</v>
      </c>
      <c r="J10" t="str">
        <f t="shared" si="1"/>
        <v/>
      </c>
      <c r="K10" t="str">
        <f t="array" aca="1" ref="K10" ca="1">IF(ROW()-ROW($K$2:$K$81)+1&gt;ROWS($J$2:$J$81)- COUNTBLANK($J$2:$J$81),"",INDIRECT(ADDRESS(SMALL((IF($J$2:$J$81&lt;&gt;"",ROW($J$2:$J$81),ROW()+ROWS($J$2:$J$81))),ROW()-ROW($K$2:$K$81)+1),COLUMN($J$2:$J$81),4)))</f>
        <v>Win7 Home Premium (64)</v>
      </c>
      <c r="L10" t="s">
        <v>32</v>
      </c>
      <c r="M10" t="s">
        <v>145</v>
      </c>
      <c r="N10" t="s">
        <v>113</v>
      </c>
    </row>
    <row r="11" spans="2:15" hidden="1">
      <c r="B11" s="1" t="s">
        <v>57</v>
      </c>
      <c r="C11" t="s">
        <v>194</v>
      </c>
      <c r="D11" t="b">
        <v>1</v>
      </c>
      <c r="E11" t="str">
        <f t="shared" si="0"/>
        <v>Arabic</v>
      </c>
      <c r="F11" t="str">
        <f t="array" aca="1" ref="F11" ca="1">IF(ROW()-ROW($F$2:$F$36)+1&gt;ROWS($E$2:$E$36)- COUNTBLANK($E$2:$E$36),"",INDIRECT(ADDRESS(SMALL((IF($E$2:$E$36&lt;&gt;"",ROW($E$2:$E$36),ROW()+ROWS($E$2:$E$36))),ROW()-ROW($F$2:$F$36)+1),COLUMN($E$2:$E$36),4)))</f>
        <v>Brazil</v>
      </c>
      <c r="H11" t="s">
        <v>19</v>
      </c>
      <c r="I11" t="b">
        <v>0</v>
      </c>
      <c r="J11" t="str">
        <f t="shared" si="1"/>
        <v/>
      </c>
      <c r="K11" t="str">
        <f t="array" aca="1" ref="K11" ca="1">IF(ROW()-ROW($K$2:$K$81)+1&gt;ROWS($J$2:$J$81)- COUNTBLANK($J$2:$J$81),"",INDIRECT(ADDRESS(SMALL((IF($J$2:$J$81&lt;&gt;"",ROW($J$2:$J$81),ROW()+ROWS($J$2:$J$81))),ROW()-ROW($K$2:$K$81)+1),COLUMN($J$2:$J$81),4)))</f>
        <v>Win7 Pro (64)</v>
      </c>
      <c r="L11" t="s">
        <v>33</v>
      </c>
      <c r="M11" t="s">
        <v>146</v>
      </c>
      <c r="N11" t="s">
        <v>136</v>
      </c>
      <c r="O11" t="s">
        <v>46</v>
      </c>
    </row>
    <row r="12" spans="2:15" hidden="1">
      <c r="B12" s="1" t="s">
        <v>58</v>
      </c>
      <c r="C12" t="s">
        <v>2</v>
      </c>
      <c r="D12" t="b">
        <v>1</v>
      </c>
      <c r="E12" t="str">
        <f t="shared" si="0"/>
        <v>Brazil</v>
      </c>
      <c r="F12" t="str">
        <f t="array" aca="1" ref="F12" ca="1">IF(ROW()-ROW($F$2:$F$36)+1&gt;ROWS($E$2:$E$36)- COUNTBLANK($E$2:$E$36),"",INDIRECT(ADDRESS(SMALL((IF($E$2:$E$36&lt;&gt;"",ROW($E$2:$E$36),ROW()+ROWS($E$2:$E$36))),ROW()-ROW($F$2:$F$36)+1),COLUMN($E$2:$E$36),4)))</f>
        <v>Hungarian</v>
      </c>
      <c r="H12" t="s">
        <v>19</v>
      </c>
      <c r="I12" t="b">
        <v>0</v>
      </c>
      <c r="J12" t="str">
        <f t="shared" si="1"/>
        <v/>
      </c>
      <c r="K12" t="str">
        <f t="array" aca="1" ref="K12" ca="1">IF(ROW()-ROW($K$2:$K$81)+1&gt;ROWS($J$2:$J$81)- COUNTBLANK($J$2:$J$81),"",INDIRECT(ADDRESS(SMALL((IF($J$2:$J$81&lt;&gt;"",ROW($J$2:$J$81),ROW()+ROWS($J$2:$J$81))),ROW()-ROW($K$2:$K$81)+1),COLUMN($J$2:$J$81),4)))</f>
        <v>Win7 Ultimate (64)</v>
      </c>
      <c r="L12" t="s">
        <v>34</v>
      </c>
      <c r="N12" t="s">
        <v>114</v>
      </c>
      <c r="O12" s="1">
        <v>2</v>
      </c>
    </row>
    <row r="13" spans="2:15" hidden="1">
      <c r="B13" s="1" t="s">
        <v>59</v>
      </c>
      <c r="C13" t="s">
        <v>195</v>
      </c>
      <c r="D13" t="b">
        <v>1</v>
      </c>
      <c r="E13" t="str">
        <f t="shared" si="0"/>
        <v>Hungarian</v>
      </c>
      <c r="F13" t="str">
        <f t="array" aca="1" ref="F13" ca="1">IF(ROW()-ROW($F$2:$F$36)+1&gt;ROWS($E$2:$E$36)- COUNTBLANK($E$2:$E$36),"",INDIRECT(ADDRESS(SMALL((IF($E$2:$E$36&lt;&gt;"",ROW($E$2:$E$36),ROW()+ROWS($E$2:$E$36))),ROW()-ROW($F$2:$F$36)+1),COLUMN($E$2:$E$36),4)))</f>
        <v>Czech Republic</v>
      </c>
      <c r="H13" t="s">
        <v>19</v>
      </c>
      <c r="I13" t="b">
        <v>0</v>
      </c>
      <c r="J13" t="str">
        <f t="shared" si="1"/>
        <v/>
      </c>
      <c r="K13" t="str">
        <f t="array" aca="1" ref="K13" ca="1">IF(ROW()-ROW($K$2:$K$81)+1&gt;ROWS($J$2:$J$81)- COUNTBLANK($J$2:$J$81),"",INDIRECT(ADDRESS(SMALL((IF($J$2:$J$81&lt;&gt;"",ROW($J$2:$J$81),ROW()+ROWS($J$2:$J$81))),ROW()-ROW($K$2:$K$81)+1),COLUMN($J$2:$J$81),4)))</f>
        <v>Win7 Enterprise (64)</v>
      </c>
      <c r="L13" t="s">
        <v>35</v>
      </c>
      <c r="M13" s="1" t="s">
        <v>147</v>
      </c>
      <c r="N13" t="s">
        <v>137</v>
      </c>
    </row>
    <row r="14" spans="2:15" hidden="1">
      <c r="B14" s="1" t="s">
        <v>60</v>
      </c>
      <c r="C14" t="s">
        <v>3</v>
      </c>
      <c r="D14" t="b">
        <v>1</v>
      </c>
      <c r="E14" t="str">
        <f t="shared" si="0"/>
        <v>Czech Republic</v>
      </c>
      <c r="F14" t="str">
        <f t="array" aca="1" ref="F14" ca="1">IF(ROW()-ROW($F$2:$F$36)+1&gt;ROWS($E$2:$E$36)- COUNTBLANK($E$2:$E$36),"",INDIRECT(ADDRESS(SMALL((IF($E$2:$E$36&lt;&gt;"",ROW($E$2:$E$36),ROW()+ROWS($E$2:$E$36))),ROW()-ROW($F$2:$F$36)+1),COLUMN($E$2:$E$36),4)))</f>
        <v>Polish</v>
      </c>
      <c r="G14" s="94" t="s">
        <v>74</v>
      </c>
      <c r="H14" t="s">
        <v>74</v>
      </c>
      <c r="I14" t="b">
        <v>0</v>
      </c>
      <c r="J14" t="str">
        <f t="shared" si="1"/>
        <v/>
      </c>
      <c r="K14" t="str">
        <f t="array" aca="1" ref="K14" ca="1">IF(ROW()-ROW($K$2:$K$81)+1&gt;ROWS($J$2:$J$81)- COUNTBLANK($J$2:$J$81),"",INDIRECT(ADDRESS(SMALL((IF($J$2:$J$81&lt;&gt;"",ROW($J$2:$J$81),ROW()+ROWS($J$2:$J$81))),ROW()-ROW($K$2:$K$81)+1),COLUMN($J$2:$J$81),4)))</f>
        <v>Win7 Starter (32)</v>
      </c>
      <c r="L14" t="s">
        <v>36</v>
      </c>
      <c r="M14" t="s">
        <v>148</v>
      </c>
      <c r="N14" t="s">
        <v>117</v>
      </c>
      <c r="O14" s="1" t="s">
        <v>47</v>
      </c>
    </row>
    <row r="15" spans="2:15" hidden="1">
      <c r="B15" s="1" t="s">
        <v>61</v>
      </c>
      <c r="C15" t="s">
        <v>196</v>
      </c>
      <c r="D15" t="b">
        <v>1</v>
      </c>
      <c r="E15" t="str">
        <f t="shared" si="0"/>
        <v>Polish</v>
      </c>
      <c r="F15" t="str">
        <f t="array" aca="1" ref="F15" ca="1">IF(ROW()-ROW($F$2:$F$36)+1&gt;ROWS($E$2:$E$36)- COUNTBLANK($E$2:$E$36),"",INDIRECT(ADDRESS(SMALL((IF($E$2:$E$36&lt;&gt;"",ROW($E$2:$E$36),ROW()+ROWS($E$2:$E$36))),ROW()-ROW($F$2:$F$36)+1),COLUMN($E$2:$E$36),4)))</f>
        <v>Russian</v>
      </c>
      <c r="H15" t="s">
        <v>8</v>
      </c>
      <c r="I15" t="b">
        <v>0</v>
      </c>
      <c r="J15" t="str">
        <f t="shared" si="1"/>
        <v/>
      </c>
      <c r="K15" t="str">
        <f t="array" aca="1" ref="K15" ca="1">IF(ROW()-ROW($K$2:$K$81)+1&gt;ROWS($J$2:$J$81)- COUNTBLANK($J$2:$J$81),"",INDIRECT(ADDRESS(SMALL((IF($J$2:$J$81&lt;&gt;"",ROW($J$2:$J$81),ROW()+ROWS($J$2:$J$81))),ROW()-ROW($K$2:$K$81)+1),COLUMN($J$2:$J$81),4)))</f>
        <v>EFI Shell (32)</v>
      </c>
      <c r="L15" t="s">
        <v>605</v>
      </c>
      <c r="M15" t="s">
        <v>149</v>
      </c>
      <c r="N15" t="s">
        <v>460</v>
      </c>
      <c r="O15" s="1">
        <v>3</v>
      </c>
    </row>
    <row r="16" spans="2:15" hidden="1">
      <c r="B16" s="1" t="s">
        <v>62</v>
      </c>
      <c r="C16" t="s">
        <v>197</v>
      </c>
      <c r="D16" t="b">
        <v>1</v>
      </c>
      <c r="E16" t="str">
        <f t="shared" si="0"/>
        <v>Russian</v>
      </c>
      <c r="F16" t="str">
        <f t="array" aca="1" ref="F16" ca="1">IF(ROW()-ROW($F$2:$F$36)+1&gt;ROWS($E$2:$E$36)- COUNTBLANK($E$2:$E$36),"",INDIRECT(ADDRESS(SMALL((IF($E$2:$E$36&lt;&gt;"",ROW($E$2:$E$36),ROW()+ROWS($E$2:$E$36))),ROW()-ROW($F$2:$F$36)+1),COLUMN($E$2:$E$36),4)))</f>
        <v>Japanese</v>
      </c>
      <c r="H16" t="s">
        <v>10</v>
      </c>
      <c r="I16" t="b">
        <v>0</v>
      </c>
      <c r="J16" t="str">
        <f t="shared" si="1"/>
        <v/>
      </c>
      <c r="K16" t="str">
        <f t="array" aca="1" ref="K16" ca="1">IF(ROW()-ROW($K$2:$K$81)+1&gt;ROWS($J$2:$J$81)- COUNTBLANK($J$2:$J$81),"",INDIRECT(ADDRESS(SMALL((IF($J$2:$J$81&lt;&gt;"",ROW($J$2:$J$81),ROW()+ROWS($J$2:$J$81))),ROW()-ROW($K$2:$K$81)+1),COLUMN($J$2:$J$81),4)))</f>
        <v>EFI Shell (64)</v>
      </c>
      <c r="L16" t="s">
        <v>37</v>
      </c>
      <c r="N16" t="s">
        <v>115</v>
      </c>
    </row>
    <row r="17" spans="2:15" hidden="1">
      <c r="B17" s="1" t="s">
        <v>63</v>
      </c>
      <c r="C17" t="s">
        <v>198</v>
      </c>
      <c r="D17" t="b">
        <v>1</v>
      </c>
      <c r="E17" t="str">
        <f t="shared" si="0"/>
        <v>Japanese</v>
      </c>
      <c r="F17" t="str">
        <f t="array" aca="1" ref="F17" ca="1">IF(ROW()-ROW($F$2:$F$36)+1&gt;ROWS($E$2:$E$36)- COUNTBLANK($E$2:$E$36),"",INDIRECT(ADDRESS(SMALL((IF($E$2:$E$36&lt;&gt;"",ROW($E$2:$E$36),ROW()+ROWS($E$2:$E$36))),ROW()-ROW($F$2:$F$36)+1),COLUMN($E$2:$E$36),4)))</f>
        <v>Netherlands</v>
      </c>
      <c r="H17" t="s">
        <v>19</v>
      </c>
      <c r="I17" t="b">
        <v>0</v>
      </c>
      <c r="J17" t="str">
        <f t="shared" si="1"/>
        <v/>
      </c>
      <c r="K17" t="str">
        <f t="array" aca="1" ref="K17" ca="1">IF(ROW()-ROW($K$2:$K$81)+1&gt;ROWS($J$2:$J$81)- COUNTBLANK($J$2:$J$81),"",INDIRECT(ADDRESS(SMALL((IF($J$2:$J$81&lt;&gt;"",ROW($J$2:$J$81),ROW()+ROWS($J$2:$J$81))),ROW()-ROW($K$2:$K$81)+1),COLUMN($J$2:$J$81),4)))</f>
        <v>Win8 (32)</v>
      </c>
      <c r="M17" s="1" t="s">
        <v>169</v>
      </c>
      <c r="N17" t="s">
        <v>138</v>
      </c>
      <c r="O17" s="1" t="s">
        <v>48</v>
      </c>
    </row>
    <row r="18" spans="2:15" hidden="1">
      <c r="B18" s="1" t="s">
        <v>64</v>
      </c>
      <c r="C18" t="s">
        <v>4</v>
      </c>
      <c r="D18" t="b">
        <v>1</v>
      </c>
      <c r="E18" t="str">
        <f t="shared" si="0"/>
        <v>Netherlands</v>
      </c>
      <c r="F18" t="str">
        <f t="array" aca="1" ref="F18" ca="1">IF(ROW()-ROW($F$2:$F$36)+1&gt;ROWS($E$2:$E$36)- COUNTBLANK($E$2:$E$36),"",INDIRECT(ADDRESS(SMALL((IF($E$2:$E$36&lt;&gt;"",ROW($E$2:$E$36),ROW()+ROWS($E$2:$E$36))),ROW()-ROW($F$2:$F$36)+1),COLUMN($E$2:$E$36),4)))</f>
        <v>Chinese</v>
      </c>
      <c r="H18" t="s">
        <v>19</v>
      </c>
      <c r="I18" t="b">
        <v>0</v>
      </c>
      <c r="J18" t="str">
        <f t="shared" si="1"/>
        <v/>
      </c>
      <c r="K18" t="str">
        <f t="array" aca="1" ref="K18" ca="1">IF(ROW()-ROW($K$2:$K$81)+1&gt;ROWS($J$2:$J$81)- COUNTBLANK($J$2:$J$81),"",INDIRECT(ADDRESS(SMALL((IF($J$2:$J$81&lt;&gt;"",ROW($J$2:$J$81),ROW()+ROWS($J$2:$J$81))),ROW()-ROW($K$2:$K$81)+1),COLUMN($J$2:$J$81),4)))</f>
        <v>Win8 Pro (32)</v>
      </c>
      <c r="M18" t="s">
        <v>170</v>
      </c>
      <c r="N18" t="s">
        <v>606</v>
      </c>
      <c r="O18" s="1">
        <v>1</v>
      </c>
    </row>
    <row r="19" spans="2:15" hidden="1">
      <c r="B19" s="1" t="s">
        <v>65</v>
      </c>
      <c r="C19" t="s">
        <v>199</v>
      </c>
      <c r="D19" t="b">
        <v>1</v>
      </c>
      <c r="E19" t="str">
        <f t="shared" si="0"/>
        <v>Chinese</v>
      </c>
      <c r="F19" t="str">
        <f t="array" aca="1" ref="F19" ca="1">IF(ROW()-ROW($F$2:$F$36)+1&gt;ROWS($E$2:$E$36)- COUNTBLANK($E$2:$E$36),"",INDIRECT(ADDRESS(SMALL((IF($E$2:$E$36&lt;&gt;"",ROW($E$2:$E$36),ROW()+ROWS($E$2:$E$36))),ROW()-ROW($F$2:$F$36)+1),COLUMN($E$2:$E$36),4)))</f>
        <v>Chinese (TW)</v>
      </c>
      <c r="H19" t="s">
        <v>19</v>
      </c>
      <c r="I19" t="b">
        <v>0</v>
      </c>
      <c r="J19" t="str">
        <f t="shared" si="1"/>
        <v/>
      </c>
      <c r="K19" t="str">
        <f t="array" aca="1" ref="K19" ca="1">IF(ROW()-ROW($K$2:$K$81)+1&gt;ROWS($J$2:$J$81)- COUNTBLANK($J$2:$J$81),"",INDIRECT(ADDRESS(SMALL((IF($J$2:$J$81&lt;&gt;"",ROW($J$2:$J$81),ROW()+ROWS($J$2:$J$81))),ROW()-ROW($K$2:$K$81)+1),COLUMN($J$2:$J$81),4)))</f>
        <v>Win8 Enterprise (32)</v>
      </c>
      <c r="M19" t="s">
        <v>171</v>
      </c>
      <c r="N19" t="s">
        <v>116</v>
      </c>
    </row>
    <row r="20" spans="2:15" hidden="1">
      <c r="B20" s="1" t="s">
        <v>66</v>
      </c>
      <c r="C20" t="s">
        <v>665</v>
      </c>
      <c r="D20" t="b">
        <v>1</v>
      </c>
      <c r="E20" t="str">
        <f t="shared" si="0"/>
        <v>Chinese (TW)</v>
      </c>
      <c r="F20" t="str">
        <f t="array" aca="1" ref="F20" ca="1">IF(ROW()-ROW($F$2:$F$36)+1&gt;ROWS($E$2:$E$36)- COUNTBLANK($E$2:$E$36),"",INDIRECT(ADDRESS(SMALL((IF($E$2:$E$36&lt;&gt;"",ROW($E$2:$E$36),ROW()+ROWS($E$2:$E$36))),ROW()-ROW($F$2:$F$36)+1),COLUMN($E$2:$E$36),4)))</f>
        <v>Traditional Chinese (TZ)</v>
      </c>
      <c r="H20" t="s">
        <v>19</v>
      </c>
      <c r="I20" t="b">
        <v>0</v>
      </c>
      <c r="J20" t="str">
        <f t="shared" si="1"/>
        <v/>
      </c>
      <c r="K20" t="str">
        <f t="array" aca="1" ref="K20" ca="1">IF(ROW()-ROW($K$2:$K$81)+1&gt;ROWS($J$2:$J$81)- COUNTBLANK($J$2:$J$81),"",INDIRECT(ADDRESS(SMALL((IF($J$2:$J$81&lt;&gt;"",ROW($J$2:$J$81),ROW()+ROWS($J$2:$J$81))),ROW()-ROW($K$2:$K$81)+1),COLUMN($J$2:$J$81),4)))</f>
        <v>Win8 (64)</v>
      </c>
      <c r="N20" t="s">
        <v>139</v>
      </c>
      <c r="O20" s="1" t="s">
        <v>84</v>
      </c>
    </row>
    <row r="21" spans="2:15" hidden="1">
      <c r="B21" s="1" t="s">
        <v>67</v>
      </c>
      <c r="C21" t="s">
        <v>666</v>
      </c>
      <c r="D21" t="b">
        <v>1</v>
      </c>
      <c r="E21" t="str">
        <f t="shared" si="0"/>
        <v>Traditional Chinese (TZ)</v>
      </c>
      <c r="F21" t="str">
        <f t="array" aca="1" ref="F21" ca="1">IF(ROW()-ROW($F$2:$F$36)+1&gt;ROWS($E$2:$E$36)- COUNTBLANK($E$2:$E$36),"",INDIRECT(ADDRESS(SMALL((IF($E$2:$E$36&lt;&gt;"",ROW($E$2:$E$36),ROW()+ROWS($E$2:$E$36))),ROW()-ROW($F$2:$F$36)+1),COLUMN($E$2:$E$36),4)))</f>
        <v>Korean</v>
      </c>
      <c r="H21" t="s">
        <v>19</v>
      </c>
      <c r="I21" t="b">
        <v>0</v>
      </c>
      <c r="J21" t="str">
        <f t="shared" si="1"/>
        <v/>
      </c>
      <c r="K21" t="str">
        <f t="array" aca="1" ref="K21" ca="1">IF(ROW()-ROW($K$2:$K$81)+1&gt;ROWS($J$2:$J$81)- COUNTBLANK($J$2:$J$81),"",INDIRECT(ADDRESS(SMALL((IF($J$2:$J$81&lt;&gt;"",ROW($J$2:$J$81),ROW()+ROWS($J$2:$J$81))),ROW()-ROW($K$2:$K$81)+1),COLUMN($J$2:$J$81),4)))</f>
        <v>Win8 Pro (64)</v>
      </c>
      <c r="N21" t="s">
        <v>681</v>
      </c>
      <c r="O21" s="1">
        <v>2</v>
      </c>
    </row>
    <row r="22" spans="2:15" hidden="1">
      <c r="B22" s="1" t="s">
        <v>68</v>
      </c>
      <c r="C22" t="s">
        <v>200</v>
      </c>
      <c r="D22" t="b">
        <v>1</v>
      </c>
      <c r="E22" t="str">
        <f t="shared" si="0"/>
        <v>Korean</v>
      </c>
      <c r="F22" t="str">
        <f t="array" aca="1" ref="F22" ca="1">IF(ROW()-ROW($F$2:$F$36)+1&gt;ROWS($E$2:$E$36)- COUNTBLANK($E$2:$E$36),"",INDIRECT(ADDRESS(SMALL((IF($E$2:$E$36&lt;&gt;"",ROW($E$2:$E$36),ROW()+ROWS($E$2:$E$36))),ROW()-ROW($F$2:$F$36)+1),COLUMN($E$2:$E$36),4)))</f>
        <v>Swedish</v>
      </c>
      <c r="G22" s="94" t="s">
        <v>75</v>
      </c>
      <c r="H22" t="s">
        <v>7</v>
      </c>
      <c r="I22" t="b">
        <v>0</v>
      </c>
      <c r="J22" t="str">
        <f t="shared" si="1"/>
        <v/>
      </c>
      <c r="K22" t="str">
        <f t="array" aca="1" ref="K22" ca="1">IF(ROW()-ROW($K$2:$K$81)+1&gt;ROWS($J$2:$J$81)- COUNTBLANK($J$2:$J$81),"",INDIRECT(ADDRESS(SMALL((IF($J$2:$J$81&lt;&gt;"",ROW($J$2:$J$81),ROW()+ROWS($J$2:$J$81))),ROW()-ROW($K$2:$K$81)+1),COLUMN($J$2:$J$81),4)))</f>
        <v>Win8 Enterprise (64)</v>
      </c>
    </row>
    <row r="23" spans="2:15" hidden="1">
      <c r="B23" s="1" t="s">
        <v>69</v>
      </c>
      <c r="C23" t="s">
        <v>201</v>
      </c>
      <c r="D23" t="b">
        <v>1</v>
      </c>
      <c r="E23" t="str">
        <f t="shared" si="0"/>
        <v>Swedish</v>
      </c>
      <c r="F23" t="str">
        <f t="array" aca="1" ref="F23" ca="1">IF(ROW()-ROW($F$2:$F$36)+1&gt;ROWS($E$2:$E$36)- COUNTBLANK($E$2:$E$36),"",INDIRECT(ADDRESS(SMALL((IF($E$2:$E$36&lt;&gt;"",ROW($E$2:$E$36),ROW()+ROWS($E$2:$E$36))),ROW()-ROW($F$2:$F$36)+1),COLUMN($E$2:$E$36),4)))</f>
        <v>Finnish</v>
      </c>
      <c r="G23" s="94" t="s">
        <v>76</v>
      </c>
      <c r="H23" t="s">
        <v>6</v>
      </c>
      <c r="I23" t="b">
        <v>1</v>
      </c>
      <c r="J23" t="str">
        <f t="shared" si="1"/>
        <v>WXP Pro</v>
      </c>
      <c r="K23" t="str">
        <f t="array" aca="1" ref="K23" ca="1">IF(ROW()-ROW($K$2:$K$81)+1&gt;ROWS($J$2:$J$81)- COUNTBLANK($J$2:$J$81),"",INDIRECT(ADDRESS(SMALL((IF($J$2:$J$81&lt;&gt;"",ROW($J$2:$J$81),ROW()+ROWS($J$2:$J$81))),ROW()-ROW($K$2:$K$81)+1),COLUMN($J$2:$J$81),4)))</f>
        <v>Win8 RT</v>
      </c>
      <c r="O23" s="1" t="s">
        <v>85</v>
      </c>
    </row>
    <row r="24" spans="2:15" hidden="1">
      <c r="B24" s="1" t="s">
        <v>70</v>
      </c>
      <c r="C24" t="s">
        <v>202</v>
      </c>
      <c r="D24" t="b">
        <v>1</v>
      </c>
      <c r="E24" t="str">
        <f t="shared" si="0"/>
        <v>Finnish</v>
      </c>
      <c r="F24" t="str">
        <f t="array" aca="1" ref="F24" ca="1">IF(ROW()-ROW($F$2:$F$36)+1&gt;ROWS($E$2:$E$36)- COUNTBLANK($E$2:$E$36),"",INDIRECT(ADDRESS(SMALL((IF($E$2:$E$36&lt;&gt;"",ROW($E$2:$E$36),ROW()+ROWS($E$2:$E$36))),ROW()-ROW($F$2:$F$36)+1),COLUMN($E$2:$E$36),4)))</f>
        <v>Hebrew</v>
      </c>
      <c r="G24" s="94" t="s">
        <v>77</v>
      </c>
      <c r="H24" t="s">
        <v>9</v>
      </c>
      <c r="I24" t="b">
        <v>0</v>
      </c>
      <c r="J24" t="str">
        <f t="shared" si="1"/>
        <v/>
      </c>
      <c r="K24" t="str">
        <f t="array" aca="1" ref="K24" ca="1">IF(ROW()-ROW($K$2:$K$81)+1&gt;ROWS($J$2:$J$81)- COUNTBLANK($J$2:$J$81),"",INDIRECT(ADDRESS(SMALL((IF($J$2:$J$81&lt;&gt;"",ROW($J$2:$J$81),ROW()+ROWS($J$2:$J$81))),ROW()-ROW($K$2:$K$81)+1),COLUMN($J$2:$J$81),4)))</f>
        <v>Win8 Multi-Language (32)</v>
      </c>
      <c r="O24" s="1">
        <v>4</v>
      </c>
    </row>
    <row r="25" spans="2:15" hidden="1">
      <c r="B25" s="1" t="s">
        <v>71</v>
      </c>
      <c r="C25" t="s">
        <v>203</v>
      </c>
      <c r="D25" t="b">
        <v>1</v>
      </c>
      <c r="E25" t="str">
        <f t="shared" si="0"/>
        <v>Hebrew</v>
      </c>
      <c r="F25" t="str">
        <f t="array" aca="1" ref="F25" ca="1">IF(ROW()-ROW($F$2:$F$36)+1&gt;ROWS($E$2:$E$36)- COUNTBLANK($E$2:$E$36),"",INDIRECT(ADDRESS(SMALL((IF($E$2:$E$36&lt;&gt;"",ROW($E$2:$E$36),ROW()+ROWS($E$2:$E$36))),ROW()-ROW($F$2:$F$36)+1),COLUMN($E$2:$E$36),4)))</f>
        <v>Spanish</v>
      </c>
      <c r="G25" s="94" t="s">
        <v>78</v>
      </c>
      <c r="H25" t="s">
        <v>11</v>
      </c>
      <c r="I25" t="b">
        <v>0</v>
      </c>
      <c r="J25" t="str">
        <f t="shared" si="1"/>
        <v/>
      </c>
      <c r="K25" t="str">
        <f t="array" aca="1" ref="K25" ca="1">IF(ROW()-ROW($K$2:$K$81)+1&gt;ROWS($J$2:$J$81)- COUNTBLANK($J$2:$J$81),"",INDIRECT(ADDRESS(SMALL((IF($J$2:$J$81&lt;&gt;"",ROW($J$2:$J$81),ROW()+ROWS($J$2:$J$81))),ROW()-ROW($K$2:$K$81)+1),COLUMN($J$2:$J$81),4)))</f>
        <v>Win8 Emerging Mkts (32)</v>
      </c>
    </row>
    <row r="26" spans="2:15" hidden="1">
      <c r="B26" s="1" t="s">
        <v>52</v>
      </c>
      <c r="C26" t="s">
        <v>204</v>
      </c>
      <c r="D26" t="b">
        <v>1</v>
      </c>
      <c r="E26" t="str">
        <f t="shared" si="0"/>
        <v>Spanish</v>
      </c>
      <c r="F26" t="str">
        <f t="array" aca="1" ref="F26" ca="1">IF(ROW()-ROW($F$2:$F$36)+1&gt;ROWS($E$2:$E$36)- COUNTBLANK($E$2:$E$36),"",INDIRECT(ADDRESS(SMALL((IF($E$2:$E$36&lt;&gt;"",ROW($E$2:$E$36),ROW()+ROWS($E$2:$E$36))),ROW()-ROW($F$2:$F$36)+1),COLUMN($E$2:$E$36),4)))</f>
        <v>Greek</v>
      </c>
      <c r="H26" t="s">
        <v>152</v>
      </c>
      <c r="I26" t="b">
        <v>0</v>
      </c>
      <c r="J26" t="str">
        <f t="shared" si="1"/>
        <v/>
      </c>
      <c r="K26" t="str">
        <f t="array" aca="1" ref="K26" ca="1">IF(ROW()-ROW($K$2:$K$81)+1&gt;ROWS($J$2:$J$81)- COUNTBLANK($J$2:$J$81),"",INDIRECT(ADDRESS(SMALL((IF($J$2:$J$81&lt;&gt;"",ROW($J$2:$J$81),ROW()+ROWS($J$2:$J$81))),ROW()-ROW($K$2:$K$81)+1),COLUMN($J$2:$J$81),4)))</f>
        <v>Win8 Chinese Mkt (32)</v>
      </c>
      <c r="O26" s="1" t="s">
        <v>86</v>
      </c>
    </row>
    <row r="27" spans="2:15" hidden="1">
      <c r="B27" s="1" t="s">
        <v>72</v>
      </c>
      <c r="C27" t="s">
        <v>205</v>
      </c>
      <c r="D27" t="b">
        <v>1</v>
      </c>
      <c r="E27" t="str">
        <f t="shared" si="0"/>
        <v>Greek</v>
      </c>
      <c r="F27" t="str">
        <f t="array" aca="1" ref="F27" ca="1">IF(ROW()-ROW($F$2:$F$36)+1&gt;ROWS($E$2:$E$36)- COUNTBLANK($E$2:$E$36),"",INDIRECT(ADDRESS(SMALL((IF($E$2:$E$36&lt;&gt;"",ROW($E$2:$E$36),ROW()+ROWS($E$2:$E$36))),ROW()-ROW($F$2:$F$36)+1),COLUMN($E$2:$E$36),4)))</f>
        <v>Romanian</v>
      </c>
      <c r="H27" t="s">
        <v>19</v>
      </c>
      <c r="I27" t="b">
        <v>0</v>
      </c>
      <c r="J27" t="str">
        <f t="shared" si="1"/>
        <v/>
      </c>
      <c r="K27" t="str">
        <f t="array" aca="1" ref="K27" ca="1">IF(ROW()-ROW($K$2:$K$81)+1&gt;ROWS($J$2:$J$81)- COUNTBLANK($J$2:$J$81),"",INDIRECT(ADDRESS(SMALL((IF($J$2:$J$81&lt;&gt;"",ROW($J$2:$J$81),ROW()+ROWS($J$2:$J$81))),ROW()-ROW($K$2:$K$81)+1),COLUMN($J$2:$J$81),4)))</f>
        <v>Win8 Multi-Language (64)</v>
      </c>
      <c r="O27" s="1">
        <v>1</v>
      </c>
    </row>
    <row r="28" spans="2:15" hidden="1">
      <c r="B28" s="1" t="s">
        <v>442</v>
      </c>
      <c r="C28" t="s">
        <v>443</v>
      </c>
      <c r="D28" t="b">
        <v>1</v>
      </c>
      <c r="E28" t="str">
        <f t="shared" si="0"/>
        <v>Romanian</v>
      </c>
      <c r="F28" t="str">
        <f t="array" aca="1" ref="F28" ca="1">IF(ROW()-ROW($F$2:$F$36)+1&gt;ROWS($E$2:$E$36)- COUNTBLANK($E$2:$E$36),"",INDIRECT(ADDRESS(SMALL((IF($E$2:$E$36&lt;&gt;"",ROW($E$2:$E$36),ROW()+ROWS($E$2:$E$36))),ROW()-ROW($F$2:$F$36)+1),COLUMN($E$2:$E$36),4)))</f>
        <v>Latvian</v>
      </c>
      <c r="H28" t="s">
        <v>19</v>
      </c>
      <c r="I28" t="b">
        <v>0</v>
      </c>
      <c r="J28" t="str">
        <f t="shared" si="1"/>
        <v/>
      </c>
      <c r="K28" t="str">
        <f t="array" aca="1" ref="K28" ca="1">IF(ROW()-ROW($K$2:$K$81)+1&gt;ROWS($J$2:$J$81)- COUNTBLANK($J$2:$J$81),"",INDIRECT(ADDRESS(SMALL((IF($J$2:$J$81&lt;&gt;"",ROW($J$2:$J$81),ROW()+ROWS($J$2:$J$81))),ROW()-ROW($K$2:$K$81)+1),COLUMN($J$2:$J$81),4)))</f>
        <v>Win8 Emerging Mkts (64)</v>
      </c>
    </row>
    <row r="29" spans="2:15" hidden="1">
      <c r="B29" s="1" t="s">
        <v>444</v>
      </c>
      <c r="C29" t="s">
        <v>445</v>
      </c>
      <c r="D29" t="b">
        <v>1</v>
      </c>
      <c r="E29" t="str">
        <f t="shared" si="0"/>
        <v>Latvian</v>
      </c>
      <c r="F29" t="str">
        <f t="array" aca="1" ref="F29" ca="1">IF(ROW()-ROW($F$2:$F$36)+1&gt;ROWS($E$2:$E$36)- COUNTBLANK($E$2:$E$36),"",INDIRECT(ADDRESS(SMALL((IF($E$2:$E$36&lt;&gt;"",ROW($E$2:$E$36),ROW()+ROWS($E$2:$E$36))),ROW()-ROW($F$2:$F$36)+1),COLUMN($E$2:$E$36),4)))</f>
        <v>Lithuanian</v>
      </c>
      <c r="H29" t="s">
        <v>19</v>
      </c>
      <c r="I29" t="b">
        <v>0</v>
      </c>
      <c r="J29" t="str">
        <f t="shared" si="1"/>
        <v/>
      </c>
      <c r="K29" t="str">
        <f t="array" aca="1" ref="K29" ca="1">IF(ROW()-ROW($K$2:$K$81)+1&gt;ROWS($J$2:$J$81)- COUNTBLANK($J$2:$J$81),"",INDIRECT(ADDRESS(SMALL((IF($J$2:$J$81&lt;&gt;"",ROW($J$2:$J$81),ROW()+ROWS($J$2:$J$81))),ROW()-ROW($K$2:$K$81)+1),COLUMN($J$2:$J$81),4)))</f>
        <v>Win8 Chinese Mkt (64)</v>
      </c>
      <c r="O29" s="1" t="s">
        <v>88</v>
      </c>
    </row>
    <row r="30" spans="2:15" hidden="1">
      <c r="B30" s="1" t="s">
        <v>446</v>
      </c>
      <c r="C30" t="s">
        <v>447</v>
      </c>
      <c r="D30" t="b">
        <v>1</v>
      </c>
      <c r="E30" t="str">
        <f t="shared" si="0"/>
        <v>Lithuanian</v>
      </c>
      <c r="F30" t="str">
        <f t="array" aca="1" ref="F30" ca="1">IF(ROW()-ROW($F$2:$F$36)+1&gt;ROWS($E$2:$E$36)- COUNTBLANK($E$2:$E$36),"",INDIRECT(ADDRESS(SMALL((IF($E$2:$E$36&lt;&gt;"",ROW($E$2:$E$36),ROW()+ROWS($E$2:$E$36))),ROW()-ROW($F$2:$F$36)+1),COLUMN($E$2:$E$36),4)))</f>
        <v>Estonian</v>
      </c>
      <c r="H30" t="s">
        <v>19</v>
      </c>
      <c r="I30" t="b">
        <v>0</v>
      </c>
      <c r="J30" t="str">
        <f t="shared" si="1"/>
        <v/>
      </c>
      <c r="K30" t="str">
        <f t="array" aca="1" ref="K30" ca="1">IF(ROW()-ROW($K$2:$K$81)+1&gt;ROWS($J$2:$J$81)- COUNTBLANK($J$2:$J$81),"",INDIRECT(ADDRESS(SMALL((IF($J$2:$J$81&lt;&gt;"",ROW($J$2:$J$81),ROW()+ROWS($J$2:$J$81))),ROW()-ROW($K$2:$K$81)+1),COLUMN($J$2:$J$81),4)))</f>
        <v/>
      </c>
      <c r="O30" s="1">
        <v>2</v>
      </c>
    </row>
    <row r="31" spans="2:15" hidden="1">
      <c r="B31" s="1" t="s">
        <v>448</v>
      </c>
      <c r="C31" t="s">
        <v>449</v>
      </c>
      <c r="D31" t="b">
        <v>1</v>
      </c>
      <c r="E31" t="str">
        <f t="shared" si="0"/>
        <v>Estonian</v>
      </c>
      <c r="F31" t="str">
        <f t="array" aca="1" ref="F31" ca="1">IF(ROW()-ROW($F$2:$F$36)+1&gt;ROWS($E$2:$E$36)- COUNTBLANK($E$2:$E$36),"",INDIRECT(ADDRESS(SMALL((IF($E$2:$E$36&lt;&gt;"",ROW($E$2:$E$36),ROW()+ROWS($E$2:$E$36))),ROW()-ROW($F$2:$F$36)+1),COLUMN($E$2:$E$36),4)))</f>
        <v>Croatian</v>
      </c>
      <c r="G31" s="94" t="s">
        <v>79</v>
      </c>
      <c r="H31" t="s">
        <v>15</v>
      </c>
      <c r="I31" t="b">
        <v>0</v>
      </c>
      <c r="J31" t="str">
        <f t="shared" si="1"/>
        <v/>
      </c>
      <c r="K31" t="str">
        <f t="array" aca="1" ref="K31" ca="1">IF(ROW()-ROW($K$2:$K$81)+1&gt;ROWS($J$2:$J$81)- COUNTBLANK($J$2:$J$81),"",INDIRECT(ADDRESS(SMALL((IF($J$2:$J$81&lt;&gt;"",ROW($J$2:$J$81),ROW()+ROWS($J$2:$J$81))),ROW()-ROW($K$2:$K$81)+1),COLUMN($J$2:$J$81),4)))</f>
        <v/>
      </c>
    </row>
    <row r="32" spans="2:15" hidden="1">
      <c r="B32" s="1" t="s">
        <v>450</v>
      </c>
      <c r="C32" t="s">
        <v>451</v>
      </c>
      <c r="D32" t="b">
        <v>1</v>
      </c>
      <c r="E32" t="str">
        <f t="shared" si="0"/>
        <v>Croatian</v>
      </c>
      <c r="F32" t="str">
        <f t="array" aca="1" ref="F32" ca="1">IF(ROW()-ROW($F$2:$F$36)+1&gt;ROWS($E$2:$E$36)- COUNTBLANK($E$2:$E$36),"",INDIRECT(ADDRESS(SMALL((IF($E$2:$E$36&lt;&gt;"",ROW($E$2:$E$36),ROW()+ROWS($E$2:$E$36))),ROW()-ROW($F$2:$F$36)+1),COLUMN($E$2:$E$36),4)))</f>
        <v>Slovenian</v>
      </c>
      <c r="G32" s="94" t="s">
        <v>80</v>
      </c>
      <c r="H32" t="s">
        <v>14</v>
      </c>
      <c r="I32" t="b">
        <v>0</v>
      </c>
      <c r="J32" t="str">
        <f t="shared" si="1"/>
        <v/>
      </c>
      <c r="K32" t="str">
        <f t="array" aca="1" ref="K32" ca="1">IF(ROW()-ROW($K$2:$K$81)+1&gt;ROWS($J$2:$J$81)- COUNTBLANK($J$2:$J$81),"",INDIRECT(ADDRESS(SMALL((IF($J$2:$J$81&lt;&gt;"",ROW($J$2:$J$81),ROW()+ROWS($J$2:$J$81))),ROW()-ROW($K$2:$K$81)+1),COLUMN($J$2:$J$81),4)))</f>
        <v/>
      </c>
      <c r="O32" s="1" t="s">
        <v>98</v>
      </c>
    </row>
    <row r="33" spans="2:15" hidden="1">
      <c r="B33" s="1" t="s">
        <v>452</v>
      </c>
      <c r="C33" t="s">
        <v>453</v>
      </c>
      <c r="D33" t="b">
        <v>1</v>
      </c>
      <c r="E33" t="str">
        <f t="shared" si="0"/>
        <v>Slovenian</v>
      </c>
      <c r="F33" t="str">
        <f t="array" aca="1" ref="F33" ca="1">IF(ROW()-ROW($F$2:$F$36)+1&gt;ROWS($E$2:$E$36)- COUNTBLANK($E$2:$E$36),"",INDIRECT(ADDRESS(SMALL((IF($E$2:$E$36&lt;&gt;"",ROW($E$2:$E$36),ROW()+ROWS($E$2:$E$36))),ROW()-ROW($F$2:$F$36)+1),COLUMN($E$2:$E$36),4)))</f>
        <v>Slovakian</v>
      </c>
      <c r="G33" s="94" t="s">
        <v>81</v>
      </c>
      <c r="H33" t="s">
        <v>12</v>
      </c>
      <c r="I33" t="b">
        <v>0</v>
      </c>
      <c r="J33" t="str">
        <f t="shared" si="1"/>
        <v/>
      </c>
      <c r="K33" t="str">
        <f t="array" aca="1" ref="K33" ca="1">IF(ROW()-ROW($K$2:$K$81)+1&gt;ROWS($J$2:$J$81)- COUNTBLANK($J$2:$J$81),"",INDIRECT(ADDRESS(SMALL((IF($J$2:$J$81&lt;&gt;"",ROW($J$2:$J$81),ROW()+ROWS($J$2:$J$81))),ROW()-ROW($K$2:$K$81)+1),COLUMN($J$2:$J$81),4)))</f>
        <v/>
      </c>
      <c r="O33" s="1">
        <v>2</v>
      </c>
    </row>
    <row r="34" spans="2:15" hidden="1">
      <c r="B34" s="1" t="s">
        <v>454</v>
      </c>
      <c r="C34" t="s">
        <v>455</v>
      </c>
      <c r="D34" t="b">
        <v>1</v>
      </c>
      <c r="E34" t="str">
        <f t="shared" si="0"/>
        <v>Slovakian</v>
      </c>
      <c r="F34" t="str">
        <f t="array" aca="1" ref="F34" ca="1">IF(ROW()-ROW($F$2:$F$36)+1&gt;ROWS($E$2:$E$36)- COUNTBLANK($E$2:$E$36),"",INDIRECT(ADDRESS(SMALL((IF($E$2:$E$36&lt;&gt;"",ROW($E$2:$E$36),ROW()+ROWS($E$2:$E$36))),ROW()-ROW($F$2:$F$36)+1),COLUMN($E$2:$E$36),4)))</f>
        <v>Bulgarian</v>
      </c>
      <c r="G34" s="94" t="s">
        <v>82</v>
      </c>
      <c r="H34" t="s">
        <v>13</v>
      </c>
      <c r="I34" t="b">
        <v>0</v>
      </c>
      <c r="J34" t="str">
        <f t="shared" ref="J34:J65" si="2">IF(I34=TRUE, H34, "")</f>
        <v/>
      </c>
      <c r="K34" t="str">
        <f t="array" aca="1" ref="K34" ca="1">IF(ROW()-ROW($K$2:$K$81)+1&gt;ROWS($J$2:$J$81)- COUNTBLANK($J$2:$J$81),"",INDIRECT(ADDRESS(SMALL((IF($J$2:$J$81&lt;&gt;"",ROW($J$2:$J$81),ROW()+ROWS($J$2:$J$81))),ROW()-ROW($K$2:$K$81)+1),COLUMN($J$2:$J$81),4)))</f>
        <v/>
      </c>
    </row>
    <row r="35" spans="2:15" hidden="1">
      <c r="B35" s="1" t="s">
        <v>456</v>
      </c>
      <c r="C35" t="s">
        <v>602</v>
      </c>
      <c r="D35" t="b">
        <v>1</v>
      </c>
      <c r="E35" t="str">
        <f t="shared" si="0"/>
        <v>Bulgarian</v>
      </c>
      <c r="F35" t="str">
        <f t="array" aca="1" ref="F35" ca="1">IF(ROW()-ROW($F$2:$F$36)+1&gt;ROWS($E$2:$E$36)- COUNTBLANK($E$2:$E$36),"",INDIRECT(ADDRESS(SMALL((IF($E$2:$E$36&lt;&gt;"",ROW($E$2:$E$36),ROW()+ROWS($E$2:$E$36))),ROW()-ROW($F$2:$F$36)+1),COLUMN($E$2:$E$36),4)))</f>
        <v>Thailand</v>
      </c>
      <c r="G35" s="94" t="s">
        <v>83</v>
      </c>
      <c r="H35" t="s">
        <v>16</v>
      </c>
      <c r="I35" t="b">
        <v>0</v>
      </c>
      <c r="J35" t="str">
        <f t="shared" si="2"/>
        <v/>
      </c>
      <c r="K35" t="str">
        <f t="array" aca="1" ref="K35" ca="1">IF(ROW()-ROW($K$2:$K$81)+1&gt;ROWS($J$2:$J$81)- COUNTBLANK($J$2:$J$81),"",INDIRECT(ADDRESS(SMALL((IF($J$2:$J$81&lt;&gt;"",ROW($J$2:$J$81),ROW()+ROWS($J$2:$J$81))),ROW()-ROW($K$2:$K$81)+1),COLUMN($J$2:$J$81),4)))</f>
        <v/>
      </c>
      <c r="O35" s="1" t="s">
        <v>102</v>
      </c>
    </row>
    <row r="36" spans="2:15" hidden="1">
      <c r="B36" t="s">
        <v>603</v>
      </c>
      <c r="C36" t="s">
        <v>517</v>
      </c>
      <c r="D36" t="b">
        <v>1</v>
      </c>
      <c r="E36" t="str">
        <f t="shared" si="0"/>
        <v>Thailand</v>
      </c>
      <c r="F36" t="str">
        <f t="array" aca="1" ref="F36" ca="1">IF(ROW()-ROW($F$2:$F$36)+1&gt;ROWS($E$2:$E$36)- COUNTBLANK($E$2:$E$36),"",INDIRECT(ADDRESS(SMALL((IF($E$2:$E$36&lt;&gt;"",ROW($E$2:$E$36),ROW()+ROWS($E$2:$E$36))),ROW()-ROW($F$2:$F$36)+1),COLUMN($E$2:$E$36),4)))</f>
        <v/>
      </c>
      <c r="G36" s="94" t="s">
        <v>126</v>
      </c>
      <c r="H36" t="s">
        <v>130</v>
      </c>
      <c r="I36" t="b">
        <v>0</v>
      </c>
      <c r="J36" t="str">
        <f t="shared" si="2"/>
        <v/>
      </c>
      <c r="K36" t="str">
        <f t="array" aca="1" ref="K36" ca="1">IF(ROW()-ROW($K$2:$K$81)+1&gt;ROWS($J$2:$J$81)- COUNTBLANK($J$2:$J$81),"",INDIRECT(ADDRESS(SMALL((IF($J$2:$J$81&lt;&gt;"",ROW($J$2:$J$81),ROW()+ROWS($J$2:$J$81))),ROW()-ROW($K$2:$K$81)+1),COLUMN($J$2:$J$81),4)))</f>
        <v/>
      </c>
      <c r="O36" s="1">
        <v>3</v>
      </c>
    </row>
    <row r="37" spans="2:15" hidden="1">
      <c r="G37" s="94" t="s">
        <v>127</v>
      </c>
      <c r="H37" t="s">
        <v>131</v>
      </c>
      <c r="I37" t="b">
        <v>0</v>
      </c>
      <c r="J37" t="str">
        <f t="shared" si="2"/>
        <v/>
      </c>
      <c r="K37" t="str">
        <f t="array" aca="1" ref="K37" ca="1">IF(ROW()-ROW($K$2:$K$81)+1&gt;ROWS($J$2:$J$81)- COUNTBLANK($J$2:$J$81),"",INDIRECT(ADDRESS(SMALL((IF($J$2:$J$81&lt;&gt;"",ROW($J$2:$J$81),ROW()+ROWS($J$2:$J$81))),ROW()-ROW($K$2:$K$81)+1),COLUMN($J$2:$J$81),4)))</f>
        <v/>
      </c>
    </row>
    <row r="38" spans="2:15" hidden="1">
      <c r="G38" s="94" t="s">
        <v>125</v>
      </c>
      <c r="H38" t="s">
        <v>132</v>
      </c>
      <c r="I38" t="b">
        <v>0</v>
      </c>
      <c r="J38" t="str">
        <f t="shared" si="2"/>
        <v/>
      </c>
      <c r="K38" t="str">
        <f t="array" aca="1" ref="K38" ca="1">IF(ROW()-ROW($K$2:$K$81)+1&gt;ROWS($J$2:$J$81)- COUNTBLANK($J$2:$J$81),"",INDIRECT(ADDRESS(SMALL((IF($J$2:$J$81&lt;&gt;"",ROW($J$2:$J$81),ROW()+ROWS($J$2:$J$81))),ROW()-ROW($K$2:$K$81)+1),COLUMN($J$2:$J$81),4)))</f>
        <v/>
      </c>
      <c r="O38" s="1" t="s">
        <v>103</v>
      </c>
    </row>
    <row r="39" spans="2:15" hidden="1">
      <c r="G39" s="94" t="s">
        <v>128</v>
      </c>
      <c r="H39" t="s">
        <v>133</v>
      </c>
      <c r="I39" t="b">
        <v>0</v>
      </c>
      <c r="J39" t="str">
        <f t="shared" si="2"/>
        <v/>
      </c>
      <c r="K39" t="str">
        <f t="array" aca="1" ref="K39" ca="1">IF(ROW()-ROW($K$2:$K$81)+1&gt;ROWS($J$2:$J$81)- COUNTBLANK($J$2:$J$81),"",INDIRECT(ADDRESS(SMALL((IF($J$2:$J$81&lt;&gt;"",ROW($J$2:$J$81),ROW()+ROWS($J$2:$J$81))),ROW()-ROW($K$2:$K$81)+1),COLUMN($J$2:$J$81),4)))</f>
        <v/>
      </c>
      <c r="O39" s="1">
        <v>1</v>
      </c>
    </row>
    <row r="40" spans="2:15" hidden="1">
      <c r="G40" s="94" t="s">
        <v>129</v>
      </c>
      <c r="H40" t="s">
        <v>134</v>
      </c>
      <c r="I40" t="b">
        <v>0</v>
      </c>
      <c r="J40" t="str">
        <f t="shared" si="2"/>
        <v/>
      </c>
      <c r="K40" t="str">
        <f t="array" aca="1" ref="K40" ca="1">IF(ROW()-ROW($K$2:$K$81)+1&gt;ROWS($J$2:$J$81)- COUNTBLANK($J$2:$J$81),"",INDIRECT(ADDRESS(SMALL((IF($J$2:$J$81&lt;&gt;"",ROW($J$2:$J$81),ROW()+ROWS($J$2:$J$81))),ROW()-ROW($K$2:$K$81)+1),COLUMN($J$2:$J$81),4)))</f>
        <v/>
      </c>
    </row>
    <row r="41" spans="2:15" hidden="1">
      <c r="H41" t="s">
        <v>19</v>
      </c>
      <c r="I41" t="b">
        <v>0</v>
      </c>
      <c r="J41" t="str">
        <f t="shared" si="2"/>
        <v/>
      </c>
      <c r="K41" t="str">
        <f t="array" aca="1" ref="K41" ca="1">IF(ROW()-ROW($K$2:$K$81)+1&gt;ROWS($J$2:$J$81)- COUNTBLANK($J$2:$J$81),"",INDIRECT(ADDRESS(SMALL((IF($J$2:$J$81&lt;&gt;"",ROW($J$2:$J$81),ROW()+ROWS($J$2:$J$81))),ROW()-ROW($K$2:$K$81)+1),COLUMN($J$2:$J$81),4)))</f>
        <v/>
      </c>
      <c r="O41" s="1" t="s">
        <v>177</v>
      </c>
    </row>
    <row r="42" spans="2:15" hidden="1">
      <c r="H42" t="s">
        <v>19</v>
      </c>
      <c r="I42" t="b">
        <v>0</v>
      </c>
      <c r="J42" t="str">
        <f t="shared" si="2"/>
        <v/>
      </c>
      <c r="K42" t="str">
        <f t="array" aca="1" ref="K42" ca="1">IF(ROW()-ROW($K$2:$K$81)+1&gt;ROWS($J$2:$J$81)- COUNTBLANK($J$2:$J$81),"",INDIRECT(ADDRESS(SMALL((IF($J$2:$J$81&lt;&gt;"",ROW($J$2:$J$81),ROW()+ROWS($J$2:$J$81))),ROW()-ROW($K$2:$K$81)+1),COLUMN($J$2:$J$81),4)))</f>
        <v/>
      </c>
      <c r="O42" s="1">
        <v>1</v>
      </c>
    </row>
    <row r="43" spans="2:15" hidden="1">
      <c r="H43" t="s">
        <v>19</v>
      </c>
      <c r="I43" t="b">
        <v>0</v>
      </c>
      <c r="J43" t="str">
        <f t="shared" si="2"/>
        <v/>
      </c>
      <c r="K43" t="str">
        <f t="array" aca="1" ref="K43" ca="1">IF(ROW()-ROW($K$2:$K$81)+1&gt;ROWS($J$2:$J$81)- COUNTBLANK($J$2:$J$81),"",INDIRECT(ADDRESS(SMALL((IF($J$2:$J$81&lt;&gt;"",ROW($J$2:$J$81),ROW()+ROWS($J$2:$J$81))),ROW()-ROW($K$2:$K$81)+1),COLUMN($J$2:$J$81),4)))</f>
        <v/>
      </c>
      <c r="O43" s="95"/>
    </row>
    <row r="44" spans="2:15" hidden="1">
      <c r="H44" t="s">
        <v>19</v>
      </c>
      <c r="I44" t="b">
        <v>0</v>
      </c>
      <c r="J44" t="str">
        <f t="shared" si="2"/>
        <v/>
      </c>
      <c r="K44" t="str">
        <f t="array" aca="1" ref="K44" ca="1">IF(ROW()-ROW($K$2:$K$81)+1&gt;ROWS($J$2:$J$81)- COUNTBLANK($J$2:$J$81),"",INDIRECT(ADDRESS(SMALL((IF($J$2:$J$81&lt;&gt;"",ROW($J$2:$J$81),ROW()+ROWS($J$2:$J$81))),ROW()-ROW($K$2:$K$81)+1),COLUMN($J$2:$J$81),4)))</f>
        <v/>
      </c>
      <c r="O44" s="1" t="s">
        <v>423</v>
      </c>
    </row>
    <row r="45" spans="2:15" hidden="1">
      <c r="F45" t="str">
        <f t="array" aca="1" ref="F45" ca="1">IF(ROW()-ROW($F$2:$F$45)+1&gt;ROWS($E$2:$E$27)- COUNTBLANK($E$2:$E$27),"",INDIRECT(ADDRESS(SMALL((IF($E$2:$E$27&lt;&gt;"",ROW($E$2:$E$27),ROW()+ROWS($E$2:$E$27))),ROW()-ROW($F$2:$F$45)+1),COLUMN($E$2:$E$27),4)))</f>
        <v/>
      </c>
      <c r="H45" t="s">
        <v>1401</v>
      </c>
      <c r="I45" t="b">
        <v>0</v>
      </c>
      <c r="J45" t="str">
        <f t="shared" si="2"/>
        <v/>
      </c>
      <c r="K45" t="str">
        <f t="array" aca="1" ref="K45" ca="1">IF(ROW()-ROW($K$2:$K$81)+1&gt;ROWS($J$2:$J$81)- COUNTBLANK($J$2:$J$81),"",INDIRECT(ADDRESS(SMALL((IF($J$2:$J$81&lt;&gt;"",ROW($J$2:$J$81),ROW()+ROWS($J$2:$J$81))),ROW()-ROW($K$2:$K$81)+1),COLUMN($J$2:$J$81),4)))</f>
        <v/>
      </c>
      <c r="O45" s="1">
        <v>0</v>
      </c>
    </row>
    <row r="46" spans="2:15" hidden="1">
      <c r="H46" t="s">
        <v>668</v>
      </c>
      <c r="I46" t="b">
        <v>0</v>
      </c>
      <c r="J46" t="str">
        <f t="shared" si="2"/>
        <v/>
      </c>
      <c r="K46" t="str">
        <f t="array" aca="1" ref="K46" ca="1">IF(ROW()-ROW($K$2:$K$81)+1&gt;ROWS($J$2:$J$81)- COUNTBLANK($J$2:$J$81),"",INDIRECT(ADDRESS(SMALL((IF($J$2:$J$81&lt;&gt;"",ROW($J$2:$J$81),ROW()+ROWS($J$2:$J$81))),ROW()-ROW($K$2:$K$81)+1),COLUMN($J$2:$J$81),4)))</f>
        <v/>
      </c>
      <c r="O46" s="1"/>
    </row>
    <row r="47" spans="2:15" hidden="1">
      <c r="H47" t="s">
        <v>20</v>
      </c>
      <c r="I47" t="b">
        <v>0</v>
      </c>
      <c r="J47" t="str">
        <f t="shared" si="2"/>
        <v/>
      </c>
      <c r="K47" t="str">
        <f t="array" aca="1" ref="K47" ca="1">IF(ROW()-ROW($K$2:$K$81)+1&gt;ROWS($J$2:$J$81)- COUNTBLANK($J$2:$J$81),"",INDIRECT(ADDRESS(SMALL((IF($J$2:$J$81&lt;&gt;"",ROW($J$2:$J$81),ROW()+ROWS($J$2:$J$81))),ROW()-ROW($K$2:$K$81)+1),COLUMN($J$2:$J$81),4)))</f>
        <v/>
      </c>
    </row>
    <row r="48" spans="2:15" hidden="1">
      <c r="G48" s="94" t="s">
        <v>669</v>
      </c>
      <c r="H48" t="s">
        <v>682</v>
      </c>
      <c r="I48" t="b">
        <v>1</v>
      </c>
      <c r="J48" t="str">
        <f t="shared" si="2"/>
        <v>Win7 Home Basic (32)</v>
      </c>
      <c r="K48" t="str">
        <f t="array" aca="1" ref="K48" ca="1">IF(ROW()-ROW($K$2:$K$81)+1&gt;ROWS($J$2:$J$81)- COUNTBLANK($J$2:$J$81),"",INDIRECT(ADDRESS(SMALL((IF($J$2:$J$81&lt;&gt;"",ROW($J$2:$J$81),ROW()+ROWS($J$2:$J$81))),ROW()-ROW($K$2:$K$81)+1),COLUMN($J$2:$J$81),4)))</f>
        <v/>
      </c>
    </row>
    <row r="49" spans="2:11" hidden="1">
      <c r="G49" s="94" t="s">
        <v>670</v>
      </c>
      <c r="H49" t="s">
        <v>683</v>
      </c>
      <c r="I49" t="b">
        <v>1</v>
      </c>
      <c r="J49" t="str">
        <f t="shared" si="2"/>
        <v>Win7 Home Premium (32)</v>
      </c>
      <c r="K49" t="str">
        <f t="array" aca="1" ref="K49" ca="1">IF(ROW()-ROW($K$2:$K$81)+1&gt;ROWS($J$2:$J$81)- COUNTBLANK($J$2:$J$81),"",INDIRECT(ADDRESS(SMALL((IF($J$2:$J$81&lt;&gt;"",ROW($J$2:$J$81),ROW()+ROWS($J$2:$J$81))),ROW()-ROW($K$2:$K$81)+1),COLUMN($J$2:$J$81),4)))</f>
        <v/>
      </c>
    </row>
    <row r="50" spans="2:11" hidden="1">
      <c r="B50" s="51" t="s">
        <v>2322</v>
      </c>
      <c r="G50" s="94" t="s">
        <v>684</v>
      </c>
      <c r="H50" t="s">
        <v>685</v>
      </c>
      <c r="I50" t="b">
        <v>1</v>
      </c>
      <c r="J50" t="str">
        <f t="shared" si="2"/>
        <v>Win7 Pro (32)</v>
      </c>
      <c r="K50" t="str">
        <f t="array" aca="1" ref="K50" ca="1">IF(ROW()-ROW($K$2:$K$81)+1&gt;ROWS($J$2:$J$81)- COUNTBLANK($J$2:$J$81),"",INDIRECT(ADDRESS(SMALL((IF($J$2:$J$81&lt;&gt;"",ROW($J$2:$J$81),ROW()+ROWS($J$2:$J$81))),ROW()-ROW($K$2:$K$81)+1),COLUMN($J$2:$J$81),4)))</f>
        <v/>
      </c>
    </row>
    <row r="51" spans="2:11" hidden="1">
      <c r="G51" s="94" t="s">
        <v>671</v>
      </c>
      <c r="H51" t="s">
        <v>686</v>
      </c>
      <c r="I51" t="b">
        <v>1</v>
      </c>
      <c r="J51" t="str">
        <f t="shared" si="2"/>
        <v>Win7 Ultimate (32)</v>
      </c>
      <c r="K51" t="str">
        <f t="array" aca="1" ref="K51" ca="1">IF(ROW()-ROW($K$2:$K$81)+1&gt;ROWS($J$2:$J$81)- COUNTBLANK($J$2:$J$81),"",INDIRECT(ADDRESS(SMALL((IF($J$2:$J$81&lt;&gt;"",ROW($J$2:$J$81),ROW()+ROWS($J$2:$J$81))),ROW()-ROW($K$2:$K$81)+1),COLUMN($J$2:$J$81),4)))</f>
        <v/>
      </c>
    </row>
    <row r="52" spans="2:11" hidden="1">
      <c r="G52" s="94" t="s">
        <v>672</v>
      </c>
      <c r="H52" t="s">
        <v>687</v>
      </c>
      <c r="I52" t="b">
        <v>1</v>
      </c>
      <c r="J52" t="str">
        <f t="shared" si="2"/>
        <v>Win7 Enterprise (32)</v>
      </c>
      <c r="K52" t="str">
        <f t="array" aca="1" ref="K52" ca="1">IF(ROW()-ROW($K$2:$K$81)+1&gt;ROWS($J$2:$J$81)- COUNTBLANK($J$2:$J$81),"",INDIRECT(ADDRESS(SMALL((IF($J$2:$J$81&lt;&gt;"",ROW($J$2:$J$81),ROW()+ROWS($J$2:$J$81))),ROW()-ROW($K$2:$K$81)+1),COLUMN($J$2:$J$81),4)))</f>
        <v/>
      </c>
    </row>
    <row r="53" spans="2:11" hidden="1">
      <c r="G53" s="94" t="s">
        <v>673</v>
      </c>
      <c r="H53" t="s">
        <v>674</v>
      </c>
      <c r="I53" t="b">
        <v>1</v>
      </c>
      <c r="J53" t="str">
        <f t="shared" si="2"/>
        <v>Win7 Home Basic (64)</v>
      </c>
      <c r="K53" t="str">
        <f t="array" aca="1" ref="K53" ca="1">IF(ROW()-ROW($K$2:$K$81)+1&gt;ROWS($J$2:$J$81)- COUNTBLANK($J$2:$J$81),"",INDIRECT(ADDRESS(SMALL((IF($J$2:$J$81&lt;&gt;"",ROW($J$2:$J$81),ROW()+ROWS($J$2:$J$81))),ROW()-ROW($K$2:$K$81)+1),COLUMN($J$2:$J$81),4)))</f>
        <v/>
      </c>
    </row>
    <row r="54" spans="2:11" hidden="1">
      <c r="G54" s="94" t="s">
        <v>675</v>
      </c>
      <c r="H54" t="s">
        <v>676</v>
      </c>
      <c r="I54" t="b">
        <v>1</v>
      </c>
      <c r="J54" t="str">
        <f t="shared" si="2"/>
        <v>Win7 Home Premium (64)</v>
      </c>
      <c r="K54" t="str">
        <f t="array" aca="1" ref="K54" ca="1">IF(ROW()-ROW($K$2:$K$81)+1&gt;ROWS($J$2:$J$81)- COUNTBLANK($J$2:$J$81),"",INDIRECT(ADDRESS(SMALL((IF($J$2:$J$81&lt;&gt;"",ROW($J$2:$J$81),ROW()+ROWS($J$2:$J$81))),ROW()-ROW($K$2:$K$81)+1),COLUMN($J$2:$J$81),4)))</f>
        <v/>
      </c>
    </row>
    <row r="55" spans="2:11" hidden="1">
      <c r="G55" s="94" t="s">
        <v>688</v>
      </c>
      <c r="H55" t="s">
        <v>689</v>
      </c>
      <c r="I55" t="b">
        <v>1</v>
      </c>
      <c r="J55" t="str">
        <f t="shared" si="2"/>
        <v>Win7 Pro (64)</v>
      </c>
      <c r="K55" t="str">
        <f t="array" aca="1" ref="K55" ca="1">IF(ROW()-ROW($K$2:$K$81)+1&gt;ROWS($J$2:$J$81)- COUNTBLANK($J$2:$J$81),"",INDIRECT(ADDRESS(SMALL((IF($J$2:$J$81&lt;&gt;"",ROW($J$2:$J$81),ROW()+ROWS($J$2:$J$81))),ROW()-ROW($K$2:$K$81)+1),COLUMN($J$2:$J$81),4)))</f>
        <v/>
      </c>
    </row>
    <row r="56" spans="2:11" hidden="1">
      <c r="G56" s="94" t="s">
        <v>677</v>
      </c>
      <c r="H56" t="s">
        <v>678</v>
      </c>
      <c r="I56" t="b">
        <v>1</v>
      </c>
      <c r="J56" t="str">
        <f t="shared" si="2"/>
        <v>Win7 Ultimate (64)</v>
      </c>
      <c r="K56" t="str">
        <f t="array" aca="1" ref="K56" ca="1">IF(ROW()-ROW($K$2:$K$81)+1&gt;ROWS($J$2:$J$81)- COUNTBLANK($J$2:$J$81),"",INDIRECT(ADDRESS(SMALL((IF($J$2:$J$81&lt;&gt;"",ROW($J$2:$J$81),ROW()+ROWS($J$2:$J$81))),ROW()-ROW($K$2:$K$81)+1),COLUMN($J$2:$J$81),4)))</f>
        <v/>
      </c>
    </row>
    <row r="57" spans="2:11" hidden="1">
      <c r="G57" s="94" t="s">
        <v>679</v>
      </c>
      <c r="H57" t="s">
        <v>680</v>
      </c>
      <c r="I57" t="b">
        <v>1</v>
      </c>
      <c r="J57" t="str">
        <f t="shared" si="2"/>
        <v>Win7 Enterprise (64)</v>
      </c>
      <c r="K57" t="str">
        <f t="array" aca="1" ref="K57" ca="1">IF(ROW()-ROW($K$2:$K$81)+1&gt;ROWS($J$2:$J$81)- COUNTBLANK($J$2:$J$81),"",INDIRECT(ADDRESS(SMALL((IF($J$2:$J$81&lt;&gt;"",ROW($J$2:$J$81),ROW()+ROWS($J$2:$J$81))),ROW()-ROW($K$2:$K$81)+1),COLUMN($J$2:$J$81),4)))</f>
        <v/>
      </c>
    </row>
    <row r="58" spans="2:11" hidden="1">
      <c r="G58" s="94" t="s">
        <v>690</v>
      </c>
      <c r="H58" t="s">
        <v>691</v>
      </c>
      <c r="I58" t="b">
        <v>1</v>
      </c>
      <c r="J58" t="str">
        <f t="shared" si="2"/>
        <v>Win7 Starter (32)</v>
      </c>
      <c r="K58" t="str">
        <f t="array" aca="1" ref="K58" ca="1">IF(ROW()-ROW($K$2:$K$81)+1&gt;ROWS($J$2:$J$81)- COUNTBLANK($J$2:$J$81),"",INDIRECT(ADDRESS(SMALL((IF($J$2:$J$81&lt;&gt;"",ROW($J$2:$J$81),ROW()+ROWS($J$2:$J$81))),ROW()-ROW($K$2:$K$81)+1),COLUMN($J$2:$J$81),4)))</f>
        <v/>
      </c>
    </row>
    <row r="59" spans="2:11" hidden="1">
      <c r="H59" t="s">
        <v>19</v>
      </c>
      <c r="I59" t="b">
        <v>0</v>
      </c>
      <c r="J59" t="str">
        <f t="shared" si="2"/>
        <v/>
      </c>
      <c r="K59" t="str">
        <f t="array" aca="1" ref="K59" ca="1">IF(ROW()-ROW($K$2:$K$81)+1&gt;ROWS($J$2:$J$81)- COUNTBLANK($J$2:$J$81),"",INDIRECT(ADDRESS(SMALL((IF($J$2:$J$81&lt;&gt;"",ROW($J$2:$J$81),ROW()+ROWS($J$2:$J$81))),ROW()-ROW($K$2:$K$81)+1),COLUMN($J$2:$J$81),4)))</f>
        <v/>
      </c>
    </row>
    <row r="60" spans="2:11" hidden="1">
      <c r="H60" t="s">
        <v>19</v>
      </c>
      <c r="I60" t="b">
        <v>0</v>
      </c>
      <c r="J60" t="str">
        <f t="shared" si="2"/>
        <v/>
      </c>
      <c r="K60" t="str">
        <f t="array" aca="1" ref="K60" ca="1">IF(ROW()-ROW($K$2:$K$81)+1&gt;ROWS($J$2:$J$81)- COUNTBLANK($J$2:$J$81),"",INDIRECT(ADDRESS(SMALL((IF($J$2:$J$81&lt;&gt;"",ROW($J$2:$J$81),ROW()+ROWS($J$2:$J$81))),ROW()-ROW($K$2:$K$81)+1),COLUMN($J$2:$J$81),4)))</f>
        <v/>
      </c>
    </row>
    <row r="61" spans="2:11" hidden="1">
      <c r="G61" s="94" t="s">
        <v>1402</v>
      </c>
      <c r="H61" t="s">
        <v>1403</v>
      </c>
      <c r="I61" t="b">
        <v>1</v>
      </c>
      <c r="J61" t="str">
        <f t="shared" si="2"/>
        <v>EFI Shell (32)</v>
      </c>
      <c r="K61" t="str">
        <f t="array" aca="1" ref="K61" ca="1">IF(ROW()-ROW($K$2:$K$81)+1&gt;ROWS($J$2:$J$81)- COUNTBLANK($J$2:$J$81),"",INDIRECT(ADDRESS(SMALL((IF($J$2:$J$81&lt;&gt;"",ROW($J$2:$J$81),ROW()+ROWS($J$2:$J$81))),ROW()-ROW($K$2:$K$81)+1),COLUMN($J$2:$J$81),4)))</f>
        <v/>
      </c>
    </row>
    <row r="62" spans="2:11" hidden="1">
      <c r="G62" s="94" t="s">
        <v>1404</v>
      </c>
      <c r="H62" t="s">
        <v>1405</v>
      </c>
      <c r="I62" t="b">
        <v>1</v>
      </c>
      <c r="J62" t="str">
        <f t="shared" si="2"/>
        <v>EFI Shell (64)</v>
      </c>
      <c r="K62" t="str">
        <f t="array" aca="1" ref="K62" ca="1">IF(ROW()-ROW($K$2:$K$81)+1&gt;ROWS($J$2:$J$81)- COUNTBLANK($J$2:$J$81),"",INDIRECT(ADDRESS(SMALL((IF($J$2:$J$81&lt;&gt;"",ROW($J$2:$J$81),ROW()+ROWS($J$2:$J$81))),ROW()-ROW($K$2:$K$81)+1),COLUMN($J$2:$J$81),4)))</f>
        <v/>
      </c>
    </row>
    <row r="63" spans="2:11" hidden="1">
      <c r="G63" s="94" t="s">
        <v>1406</v>
      </c>
      <c r="H63" t="s">
        <v>1407</v>
      </c>
      <c r="I63" t="b">
        <v>1</v>
      </c>
      <c r="J63" t="str">
        <f t="shared" si="2"/>
        <v>Win8 (32)</v>
      </c>
      <c r="K63" t="str">
        <f t="array" aca="1" ref="K63" ca="1">IF(ROW()-ROW($K$2:$K$81)+1&gt;ROWS($J$2:$J$81)- COUNTBLANK($J$2:$J$81),"",INDIRECT(ADDRESS(SMALL((IF($J$2:$J$81&lt;&gt;"",ROW($J$2:$J$81),ROW()+ROWS($J$2:$J$81))),ROW()-ROW($K$2:$K$81)+1),COLUMN($J$2:$J$81),4)))</f>
        <v/>
      </c>
    </row>
    <row r="64" spans="2:11" hidden="1">
      <c r="G64" s="94" t="s">
        <v>1408</v>
      </c>
      <c r="H64" t="s">
        <v>1409</v>
      </c>
      <c r="I64" t="b">
        <v>0</v>
      </c>
      <c r="J64" t="str">
        <f t="shared" si="2"/>
        <v/>
      </c>
      <c r="K64" t="str">
        <f t="array" aca="1" ref="K64" ca="1">IF(ROW()-ROW($K$2:$K$81)+1&gt;ROWS($J$2:$J$81)- COUNTBLANK($J$2:$J$81),"",INDIRECT(ADDRESS(SMALL((IF($J$2:$J$81&lt;&gt;"",ROW($J$2:$J$81),ROW()+ROWS($J$2:$J$81))),ROW()-ROW($K$2:$K$81)+1),COLUMN($J$2:$J$81),4)))</f>
        <v/>
      </c>
    </row>
    <row r="65" spans="7:11" hidden="1">
      <c r="G65" s="94" t="s">
        <v>1410</v>
      </c>
      <c r="H65" t="s">
        <v>1411</v>
      </c>
      <c r="I65" t="b">
        <v>1</v>
      </c>
      <c r="J65" t="str">
        <f t="shared" si="2"/>
        <v>Win8 Pro (32)</v>
      </c>
      <c r="K65" t="str">
        <f t="array" aca="1" ref="K65" ca="1">IF(ROW()-ROW($K$2:$K$81)+1&gt;ROWS($J$2:$J$81)- COUNTBLANK($J$2:$J$81),"",INDIRECT(ADDRESS(SMALL((IF($J$2:$J$81&lt;&gt;"",ROW($J$2:$J$81),ROW()+ROWS($J$2:$J$81))),ROW()-ROW($K$2:$K$81)+1),COLUMN($J$2:$J$81),4)))</f>
        <v/>
      </c>
    </row>
    <row r="66" spans="7:11" hidden="1">
      <c r="G66" s="94" t="s">
        <v>1412</v>
      </c>
      <c r="H66" t="s">
        <v>1413</v>
      </c>
      <c r="I66" t="b">
        <v>0</v>
      </c>
      <c r="J66" t="str">
        <f t="shared" ref="J66:J81" si="3">IF(I66=TRUE, H66, "")</f>
        <v/>
      </c>
      <c r="K66" t="str">
        <f t="array" aca="1" ref="K66" ca="1">IF(ROW()-ROW($K$2:$K$81)+1&gt;ROWS($J$2:$J$81)- COUNTBLANK($J$2:$J$81),"",INDIRECT(ADDRESS(SMALL((IF($J$2:$J$81&lt;&gt;"",ROW($J$2:$J$81),ROW()+ROWS($J$2:$J$81))),ROW()-ROW($K$2:$K$81)+1),COLUMN($J$2:$J$81),4)))</f>
        <v/>
      </c>
    </row>
    <row r="67" spans="7:11" hidden="1">
      <c r="G67" s="94" t="s">
        <v>1414</v>
      </c>
      <c r="H67" t="s">
        <v>1415</v>
      </c>
      <c r="I67" t="b">
        <v>1</v>
      </c>
      <c r="J67" t="str">
        <f t="shared" si="3"/>
        <v>Win8 Enterprise (32)</v>
      </c>
      <c r="K67" t="str">
        <f t="array" aca="1" ref="K67" ca="1">IF(ROW()-ROW($K$2:$K$81)+1&gt;ROWS($J$2:$J$81)- COUNTBLANK($J$2:$J$81),"",INDIRECT(ADDRESS(SMALL((IF($J$2:$J$81&lt;&gt;"",ROW($J$2:$J$81),ROW()+ROWS($J$2:$J$81))),ROW()-ROW($K$2:$K$81)+1),COLUMN($J$2:$J$81),4)))</f>
        <v/>
      </c>
    </row>
    <row r="68" spans="7:11" hidden="1">
      <c r="G68" s="94" t="s">
        <v>1416</v>
      </c>
      <c r="H68" t="s">
        <v>1417</v>
      </c>
      <c r="I68" t="b">
        <v>1</v>
      </c>
      <c r="J68" t="str">
        <f t="shared" si="3"/>
        <v>Win8 (64)</v>
      </c>
      <c r="K68" t="str">
        <f t="array" aca="1" ref="K68" ca="1">IF(ROW()-ROW($K$2:$K$81)+1&gt;ROWS($J$2:$J$81)- COUNTBLANK($J$2:$J$81),"",INDIRECT(ADDRESS(SMALL((IF($J$2:$J$81&lt;&gt;"",ROW($J$2:$J$81),ROW()+ROWS($J$2:$J$81))),ROW()-ROW($K$2:$K$81)+1),COLUMN($J$2:$J$81),4)))</f>
        <v/>
      </c>
    </row>
    <row r="69" spans="7:11" hidden="1">
      <c r="G69" s="94" t="s">
        <v>1418</v>
      </c>
      <c r="H69" t="s">
        <v>1419</v>
      </c>
      <c r="I69" t="b">
        <v>0</v>
      </c>
      <c r="J69" t="str">
        <f t="shared" si="3"/>
        <v/>
      </c>
      <c r="K69" t="str">
        <f t="array" aca="1" ref="K69" ca="1">IF(ROW()-ROW($K$2:$K$81)+1&gt;ROWS($J$2:$J$81)- COUNTBLANK($J$2:$J$81),"",INDIRECT(ADDRESS(SMALL((IF($J$2:$J$81&lt;&gt;"",ROW($J$2:$J$81),ROW()+ROWS($J$2:$J$81))),ROW()-ROW($K$2:$K$81)+1),COLUMN($J$2:$J$81),4)))</f>
        <v/>
      </c>
    </row>
    <row r="70" spans="7:11" hidden="1">
      <c r="G70" s="94" t="s">
        <v>1420</v>
      </c>
      <c r="H70" t="s">
        <v>1421</v>
      </c>
      <c r="I70" t="b">
        <v>1</v>
      </c>
      <c r="J70" t="str">
        <f t="shared" si="3"/>
        <v>Win8 Pro (64)</v>
      </c>
      <c r="K70" t="str">
        <f t="array" aca="1" ref="K70" ca="1">IF(ROW()-ROW($K$2:$K$81)+1&gt;ROWS($J$2:$J$81)- COUNTBLANK($J$2:$J$81),"",INDIRECT(ADDRESS(SMALL((IF($J$2:$J$81&lt;&gt;"",ROW($J$2:$J$81),ROW()+ROWS($J$2:$J$81))),ROW()-ROW($K$2:$K$81)+1),COLUMN($J$2:$J$81),4)))</f>
        <v/>
      </c>
    </row>
    <row r="71" spans="7:11" hidden="1">
      <c r="G71" s="94" t="s">
        <v>1422</v>
      </c>
      <c r="H71" t="s">
        <v>1423</v>
      </c>
      <c r="I71" t="b">
        <v>0</v>
      </c>
      <c r="J71" t="str">
        <f t="shared" si="3"/>
        <v/>
      </c>
      <c r="K71" t="str">
        <f t="array" aca="1" ref="K71" ca="1">IF(ROW()-ROW($K$2:$K$81)+1&gt;ROWS($J$2:$J$81)- COUNTBLANK($J$2:$J$81),"",INDIRECT(ADDRESS(SMALL((IF($J$2:$J$81&lt;&gt;"",ROW($J$2:$J$81),ROW()+ROWS($J$2:$J$81))),ROW()-ROW($K$2:$K$81)+1),COLUMN($J$2:$J$81),4)))</f>
        <v/>
      </c>
    </row>
    <row r="72" spans="7:11" hidden="1">
      <c r="G72" s="94" t="s">
        <v>1424</v>
      </c>
      <c r="H72" t="s">
        <v>1425</v>
      </c>
      <c r="I72" t="b">
        <v>1</v>
      </c>
      <c r="J72" t="str">
        <f t="shared" si="3"/>
        <v>Win8 Enterprise (64)</v>
      </c>
      <c r="K72" t="str">
        <f t="array" aca="1" ref="K72" ca="1">IF(ROW()-ROW($K$2:$K$81)+1&gt;ROWS($J$2:$J$81)- COUNTBLANK($J$2:$J$81),"",INDIRECT(ADDRESS(SMALL((IF($J$2:$J$81&lt;&gt;"",ROW($J$2:$J$81),ROW()+ROWS($J$2:$J$81))),ROW()-ROW($K$2:$K$81)+1),COLUMN($J$2:$J$81),4)))</f>
        <v/>
      </c>
    </row>
    <row r="73" spans="7:11" hidden="1">
      <c r="G73" s="94" t="s">
        <v>1426</v>
      </c>
      <c r="H73" t="s">
        <v>1427</v>
      </c>
      <c r="I73" t="b">
        <v>0</v>
      </c>
      <c r="J73" t="str">
        <f t="shared" si="3"/>
        <v/>
      </c>
      <c r="K73" t="str">
        <f t="array" aca="1" ref="K73" ca="1">IF(ROW()-ROW($K$2:$K$81)+1&gt;ROWS($J$2:$J$81)- COUNTBLANK($J$2:$J$81),"",INDIRECT(ADDRESS(SMALL((IF($J$2:$J$81&lt;&gt;"",ROW($J$2:$J$81),ROW()+ROWS($J$2:$J$81))),ROW()-ROW($K$2:$K$81)+1),COLUMN($J$2:$J$81),4)))</f>
        <v/>
      </c>
    </row>
    <row r="74" spans="7:11" hidden="1">
      <c r="G74" s="94" t="s">
        <v>1428</v>
      </c>
      <c r="H74" t="s">
        <v>1429</v>
      </c>
      <c r="I74" t="b">
        <v>1</v>
      </c>
      <c r="J74" t="str">
        <f t="shared" si="3"/>
        <v>Win8 RT</v>
      </c>
      <c r="K74" t="str">
        <f t="array" aca="1" ref="K74" ca="1">IF(ROW()-ROW($K$2:$K$81)+1&gt;ROWS($J$2:$J$81)- COUNTBLANK($J$2:$J$81),"",INDIRECT(ADDRESS(SMALL((IF($J$2:$J$81&lt;&gt;"",ROW($J$2:$J$81),ROW()+ROWS($J$2:$J$81))),ROW()-ROW($K$2:$K$81)+1),COLUMN($J$2:$J$81),4)))</f>
        <v/>
      </c>
    </row>
    <row r="75" spans="7:11" hidden="1">
      <c r="H75" t="s">
        <v>19</v>
      </c>
      <c r="I75" t="b">
        <v>0</v>
      </c>
      <c r="J75" t="str">
        <f t="shared" si="3"/>
        <v/>
      </c>
      <c r="K75" t="str">
        <f t="array" aca="1" ref="K75" ca="1">IF(ROW()-ROW($K$2:$K$81)+1&gt;ROWS($J$2:$J$81)- COUNTBLANK($J$2:$J$81),"",INDIRECT(ADDRESS(SMALL((IF($J$2:$J$81&lt;&gt;"",ROW($J$2:$J$81),ROW()+ROWS($J$2:$J$81))),ROW()-ROW($K$2:$K$81)+1),COLUMN($J$2:$J$81),4)))</f>
        <v/>
      </c>
    </row>
    <row r="76" spans="7:11" hidden="1">
      <c r="G76" s="94" t="s">
        <v>2310</v>
      </c>
      <c r="H76" t="s">
        <v>2311</v>
      </c>
      <c r="I76" t="b">
        <v>1</v>
      </c>
      <c r="J76" t="str">
        <f t="shared" si="3"/>
        <v>Win8 Multi-Language (32)</v>
      </c>
      <c r="K76" t="str">
        <f t="array" aca="1" ref="K76" ca="1">IF(ROW()-ROW($K$2:$K$81)+1&gt;ROWS($J$2:$J$81)- COUNTBLANK($J$2:$J$81),"",INDIRECT(ADDRESS(SMALL((IF($J$2:$J$81&lt;&gt;"",ROW($J$2:$J$81),ROW()+ROWS($J$2:$J$81))),ROW()-ROW($K$2:$K$81)+1),COLUMN($J$2:$J$81),4)))</f>
        <v/>
      </c>
    </row>
    <row r="77" spans="7:11" hidden="1">
      <c r="G77" s="94" t="s">
        <v>2312</v>
      </c>
      <c r="H77" t="s">
        <v>2313</v>
      </c>
      <c r="I77" t="b">
        <v>1</v>
      </c>
      <c r="J77" t="str">
        <f t="shared" si="3"/>
        <v>Win8 Emerging Mkts (32)</v>
      </c>
      <c r="K77" t="str">
        <f t="array" aca="1" ref="K77" ca="1">IF(ROW()-ROW($K$2:$K$81)+1&gt;ROWS($J$2:$J$81)- COUNTBLANK($J$2:$J$81),"",INDIRECT(ADDRESS(SMALL((IF($J$2:$J$81&lt;&gt;"",ROW($J$2:$J$81),ROW()+ROWS($J$2:$J$81))),ROW()-ROW($K$2:$K$81)+1),COLUMN($J$2:$J$81),4)))</f>
        <v/>
      </c>
    </row>
    <row r="78" spans="7:11" hidden="1">
      <c r="G78" s="94" t="s">
        <v>2314</v>
      </c>
      <c r="H78" t="s">
        <v>2315</v>
      </c>
      <c r="I78" t="b">
        <v>1</v>
      </c>
      <c r="J78" t="str">
        <f t="shared" si="3"/>
        <v>Win8 Chinese Mkt (32)</v>
      </c>
      <c r="K78" t="str">
        <f t="array" aca="1" ref="K78" ca="1">IF(ROW()-ROW($K$2:$K$81)+1&gt;ROWS($J$2:$J$81)- COUNTBLANK($J$2:$J$81),"",INDIRECT(ADDRESS(SMALL((IF($J$2:$J$81&lt;&gt;"",ROW($J$2:$J$81),ROW()+ROWS($J$2:$J$81))),ROW()-ROW($K$2:$K$81)+1),COLUMN($J$2:$J$81),4)))</f>
        <v/>
      </c>
    </row>
    <row r="79" spans="7:11" hidden="1">
      <c r="G79" s="94" t="s">
        <v>2316</v>
      </c>
      <c r="H79" t="s">
        <v>2317</v>
      </c>
      <c r="I79" t="b">
        <v>1</v>
      </c>
      <c r="J79" t="str">
        <f t="shared" si="3"/>
        <v>Win8 Multi-Language (64)</v>
      </c>
      <c r="K79" t="str">
        <f t="array" aca="1" ref="K79" ca="1">IF(ROW()-ROW($K$2:$K$81)+1&gt;ROWS($J$2:$J$81)- COUNTBLANK($J$2:$J$81),"",INDIRECT(ADDRESS(SMALL((IF($J$2:$J$81&lt;&gt;"",ROW($J$2:$J$81),ROW()+ROWS($J$2:$J$81))),ROW()-ROW($K$2:$K$81)+1),COLUMN($J$2:$J$81),4)))</f>
        <v/>
      </c>
    </row>
    <row r="80" spans="7:11" hidden="1">
      <c r="G80" s="94" t="s">
        <v>2318</v>
      </c>
      <c r="H80" t="s">
        <v>2319</v>
      </c>
      <c r="I80" t="b">
        <v>1</v>
      </c>
      <c r="J80" t="str">
        <f t="shared" si="3"/>
        <v>Win8 Emerging Mkts (64)</v>
      </c>
      <c r="K80" t="str">
        <f t="array" aca="1" ref="K80" ca="1">IF(ROW()-ROW($K$2:$K$81)+1&gt;ROWS($J$2:$J$81)- COUNTBLANK($J$2:$J$81),"",INDIRECT(ADDRESS(SMALL((IF($J$2:$J$81&lt;&gt;"",ROW($J$2:$J$81),ROW()+ROWS($J$2:$J$81))),ROW()-ROW($K$2:$K$81)+1),COLUMN($J$2:$J$81),4)))</f>
        <v/>
      </c>
    </row>
    <row r="81" spans="7:11" hidden="1">
      <c r="G81" s="94" t="s">
        <v>2320</v>
      </c>
      <c r="H81" t="s">
        <v>2321</v>
      </c>
      <c r="I81" t="b">
        <v>1</v>
      </c>
      <c r="J81" t="str">
        <f t="shared" si="3"/>
        <v>Win8 Chinese Mkt (64)</v>
      </c>
      <c r="K81" t="str">
        <f t="array" aca="1" ref="K81" ca="1">IF(ROW()-ROW($K$2:$K$81)+1&gt;ROWS($J$2:$J$81)- COUNTBLANK($J$2:$J$81),"",INDIRECT(ADDRESS(SMALL((IF($J$2:$J$81&lt;&gt;"",ROW($J$2:$J$81),ROW()+ROWS($J$2:$J$81))),ROW()-ROW($K$2:$K$81)+1),COLUMN($J$2:$J$81),4)))</f>
        <v/>
      </c>
    </row>
    <row r="82" spans="7:11" hidden="1"/>
    <row r="83" spans="7:11" hidden="1"/>
    <row r="84" spans="7:11" hidden="1"/>
    <row r="85" spans="7:11" hidden="1"/>
    <row r="86" spans="7:11" hidden="1"/>
    <row r="87" spans="7:11" hidden="1"/>
    <row r="88" spans="7:11" hidden="1"/>
    <row r="89" spans="7:11" hidden="1"/>
    <row r="90" spans="7:11" hidden="1"/>
    <row r="91" spans="7:11" hidden="1"/>
    <row r="92" spans="7:11" hidden="1"/>
    <row r="93" spans="7:11" hidden="1"/>
    <row r="94" spans="7:11" hidden="1"/>
    <row r="95" spans="7:11" hidden="1"/>
    <row r="96" spans="7:11"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22:53" hidden="1"/>
    <row r="194" spans="22:53" hidden="1"/>
    <row r="195" spans="22:53" hidden="1"/>
    <row r="196" spans="22:53" hidden="1"/>
    <row r="197" spans="22:53" hidden="1"/>
    <row r="198" spans="22:53" hidden="1"/>
    <row r="199" spans="22:53" hidden="1"/>
    <row r="200" spans="22:53">
      <c r="V200" s="3" t="s">
        <v>101</v>
      </c>
      <c r="W200" t="s">
        <v>0</v>
      </c>
      <c r="X200" t="s">
        <v>1</v>
      </c>
      <c r="Y200" t="s">
        <v>2795</v>
      </c>
      <c r="Z200" t="s">
        <v>181</v>
      </c>
      <c r="AA200" t="s">
        <v>2796</v>
      </c>
      <c r="AB200" t="s">
        <v>182</v>
      </c>
      <c r="AC200" t="s">
        <v>167</v>
      </c>
      <c r="AD200" t="s">
        <v>159</v>
      </c>
      <c r="AE200" t="s">
        <v>2797</v>
      </c>
      <c r="AF200" t="s">
        <v>2798</v>
      </c>
      <c r="AG200" t="s">
        <v>2799</v>
      </c>
      <c r="AH200" t="s">
        <v>2800</v>
      </c>
      <c r="AI200" t="s">
        <v>2801</v>
      </c>
      <c r="AJ200" t="s">
        <v>2802</v>
      </c>
      <c r="AK200" t="s">
        <v>160</v>
      </c>
      <c r="AL200" t="s">
        <v>2803</v>
      </c>
      <c r="AM200" t="s">
        <v>2804</v>
      </c>
      <c r="AN200" t="s">
        <v>161</v>
      </c>
      <c r="AO200" t="s">
        <v>87</v>
      </c>
      <c r="AP200" t="s">
        <v>2805</v>
      </c>
      <c r="AQ200" t="s">
        <v>209</v>
      </c>
      <c r="AR200" t="s">
        <v>2806</v>
      </c>
      <c r="AS200" t="s">
        <v>2807</v>
      </c>
      <c r="AT200" t="s">
        <v>2808</v>
      </c>
      <c r="AU200" t="s">
        <v>165</v>
      </c>
      <c r="AV200" t="s">
        <v>162</v>
      </c>
      <c r="AW200" t="s">
        <v>2809</v>
      </c>
      <c r="AX200" t="s">
        <v>2810</v>
      </c>
      <c r="AY200" t="s">
        <v>2812</v>
      </c>
      <c r="AZ200" t="s">
        <v>2813</v>
      </c>
      <c r="BA200" t="s">
        <v>2814</v>
      </c>
    </row>
    <row r="201" spans="22:53">
      <c r="V201" t="s">
        <v>2779</v>
      </c>
      <c r="W201" t="s">
        <v>2794</v>
      </c>
      <c r="X201" t="s">
        <v>2779</v>
      </c>
      <c r="Y201" t="s">
        <v>2779</v>
      </c>
      <c r="Z201" t="s">
        <v>2780</v>
      </c>
      <c r="AA201" t="s">
        <v>2781</v>
      </c>
      <c r="AB201" t="s">
        <v>183</v>
      </c>
      <c r="AC201" t="s">
        <v>1820</v>
      </c>
      <c r="AD201" t="s">
        <v>166</v>
      </c>
      <c r="AE201" t="s">
        <v>1819</v>
      </c>
      <c r="AF201" t="s">
        <v>2782</v>
      </c>
      <c r="AG201" t="s">
        <v>166</v>
      </c>
      <c r="AH201" t="s">
        <v>166</v>
      </c>
      <c r="AI201" t="s">
        <v>166</v>
      </c>
      <c r="AJ201" t="s">
        <v>2783</v>
      </c>
      <c r="AK201" t="s">
        <v>2784</v>
      </c>
      <c r="AL201" t="s">
        <v>2784</v>
      </c>
      <c r="AM201" t="s">
        <v>2785</v>
      </c>
      <c r="AN201" t="s">
        <v>166</v>
      </c>
      <c r="AO201" t="s">
        <v>166</v>
      </c>
      <c r="AP201" t="s">
        <v>2786</v>
      </c>
      <c r="AQ201" t="s">
        <v>166</v>
      </c>
      <c r="AR201" t="s">
        <v>166</v>
      </c>
      <c r="AS201" t="s">
        <v>166</v>
      </c>
      <c r="AT201" t="s">
        <v>166</v>
      </c>
      <c r="AU201" t="s">
        <v>283</v>
      </c>
      <c r="AV201" t="s">
        <v>239</v>
      </c>
      <c r="AW201" t="s">
        <v>284</v>
      </c>
      <c r="AX201" t="s">
        <v>166</v>
      </c>
    </row>
    <row r="202" spans="22:53">
      <c r="W202" t="s">
        <v>2811</v>
      </c>
      <c r="AY202">
        <v>0.45</v>
      </c>
      <c r="AZ202">
        <v>45.09</v>
      </c>
      <c r="BA202" t="s">
        <v>2790</v>
      </c>
    </row>
    <row r="203" spans="22:53">
      <c r="W203" t="s">
        <v>3001</v>
      </c>
      <c r="AY203">
        <v>0.46</v>
      </c>
      <c r="AZ203" t="s">
        <v>2994</v>
      </c>
      <c r="BA203" t="s">
        <v>2790</v>
      </c>
    </row>
  </sheetData>
  <customSheetViews>
    <customSheetView guid="{4ECC98B7-8F7E-48B2-BF78-0C8168954CF5}" showRowCol="0" hiddenRows="1" hiddenColumns="1" state="hidden" showRuler="0" topLeftCell="N1">
      <selection activeCell="N1" sqref="N1"/>
      <pageMargins left="0.75" right="0.75" top="1" bottom="1" header="0.5" footer="0.5"/>
      <headerFooter alignWithMargins="0"/>
    </customSheetView>
  </customSheetViews>
  <mergeCells count="2">
    <mergeCell ref="B1:F1"/>
    <mergeCell ref="G1:K1"/>
  </mergeCells>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Results13">
    <outlinePr summaryBelow="0" summaryRight="0"/>
    <pageSetUpPr autoPageBreaks="0" fitToPage="1"/>
  </sheetPr>
  <dimension ref="A1:L220"/>
  <sheetViews>
    <sheetView showGridLines="0" zoomScaleNormal="100" workbookViewId="0">
      <pane xSplit="3" ySplit="7" topLeftCell="D145" activePane="bottomRight" state="frozen"/>
      <selection activeCell="G81" sqref="G81:G82"/>
      <selection pane="topRight" activeCell="G81" sqref="G81:G82"/>
      <selection pane="bottomLeft" activeCell="G81" sqref="G81:G82"/>
      <selection pane="bottomRight" activeCell="E174" sqref="E174"/>
    </sheetView>
  </sheetViews>
  <sheetFormatPr defaultRowHeight="12.75"/>
  <cols>
    <col min="1" max="1" width="4.42578125" style="295" hidden="1" customWidth="1"/>
    <col min="2" max="2" width="3" style="295" customWidth="1"/>
    <col min="3" max="3" width="96" style="295" customWidth="1"/>
    <col min="4" max="4" width="10.7109375" style="295" customWidth="1"/>
    <col min="5" max="5" width="45.7109375" style="295" customWidth="1"/>
    <col min="6" max="6" width="37" style="295" hidden="1" customWidth="1"/>
    <col min="7" max="7" width="45.7109375" style="295" customWidth="1"/>
    <col min="8" max="8" width="37" style="295" hidden="1" customWidth="1"/>
    <col min="9" max="9" width="9.140625" style="295"/>
    <col min="10" max="10" width="10.42578125" style="295" customWidth="1"/>
    <col min="11" max="16384" width="9.140625" style="295"/>
  </cols>
  <sheetData>
    <row r="1" spans="1:9" ht="17.25" hidden="1" customHeight="1">
      <c r="A1" s="295">
        <f>ROW(C208)</f>
        <v>208</v>
      </c>
    </row>
    <row r="2" spans="1:9">
      <c r="A2" s="295">
        <f>COLUMN(C208)</f>
        <v>3</v>
      </c>
      <c r="C2" s="171" t="s">
        <v>2480</v>
      </c>
      <c r="E2" s="172" t="str">
        <f>TT_LOCK(0)</f>
        <v/>
      </c>
      <c r="G2" s="357" t="str">
        <f>TT_LOCK(4)</f>
        <v>***RESULTS LOCKED***</v>
      </c>
    </row>
    <row r="3" spans="1:9">
      <c r="A3" s="295">
        <f>COLUMN(J208)</f>
        <v>10</v>
      </c>
      <c r="C3" s="173" t="str">
        <f>TT_CFG("System Bios")</f>
        <v>System Bios</v>
      </c>
      <c r="E3" s="347">
        <v>0.46</v>
      </c>
      <c r="F3" s="348"/>
      <c r="G3" s="347">
        <v>0.45</v>
      </c>
      <c r="H3" s="348"/>
      <c r="I3" s="294"/>
    </row>
    <row r="4" spans="1:9">
      <c r="C4" s="173" t="str">
        <f>TT_CFG("Kbc")</f>
        <v>Kbc</v>
      </c>
      <c r="E4" s="347" t="s">
        <v>2996</v>
      </c>
      <c r="F4" s="348"/>
      <c r="G4" s="347">
        <v>45.09</v>
      </c>
      <c r="H4" s="348"/>
      <c r="I4" s="294"/>
    </row>
    <row r="5" spans="1:9">
      <c r="C5" s="173" t="str">
        <f>TT_CFG("Me Version")</f>
        <v>Me Version</v>
      </c>
      <c r="E5" s="347" t="s">
        <v>2999</v>
      </c>
      <c r="F5" s="348"/>
      <c r="G5" s="347" t="s">
        <v>2792</v>
      </c>
      <c r="H5" s="348"/>
      <c r="I5" s="294"/>
    </row>
    <row r="6" spans="1:9">
      <c r="I6" s="174"/>
    </row>
    <row r="7" spans="1:9">
      <c r="C7" s="175" t="str">
        <f>TT_CFG("UserLabel")</f>
        <v>Configuration ID</v>
      </c>
      <c r="D7" s="176"/>
      <c r="E7" s="349" t="s">
        <v>2954</v>
      </c>
      <c r="F7" s="350"/>
      <c r="G7" s="349" t="s">
        <v>2954</v>
      </c>
      <c r="H7" s="350"/>
      <c r="I7" s="294"/>
    </row>
    <row r="8" spans="1:9" ht="12.75" customHeight="1">
      <c r="C8" s="177" t="str">
        <f>TT_CFG("Unit Id")</f>
        <v>Unit Id</v>
      </c>
      <c r="D8" s="176"/>
      <c r="E8" s="342" t="s">
        <v>2779</v>
      </c>
      <c r="F8" s="338"/>
      <c r="G8" s="342" t="s">
        <v>2779</v>
      </c>
      <c r="H8" s="338"/>
      <c r="I8" s="294"/>
    </row>
    <row r="9" spans="1:9" ht="12.75" customHeight="1">
      <c r="C9" s="177" t="str">
        <f>TT_CFG("System Board")</f>
        <v>System Board</v>
      </c>
      <c r="D9" s="176"/>
      <c r="E9" s="342" t="s">
        <v>2780</v>
      </c>
      <c r="F9" s="338"/>
      <c r="G9" s="342" t="s">
        <v>2780</v>
      </c>
      <c r="H9" s="338"/>
      <c r="I9" s="294"/>
    </row>
    <row r="10" spans="1:9" ht="12.75" customHeight="1">
      <c r="C10" s="177" t="str">
        <f>TT_CFG("Processor")</f>
        <v>Processor</v>
      </c>
      <c r="D10" s="176"/>
      <c r="E10" s="342" t="s">
        <v>2781</v>
      </c>
      <c r="F10" s="338"/>
      <c r="G10" s="342" t="s">
        <v>2781</v>
      </c>
      <c r="H10" s="338"/>
      <c r="I10" s="294"/>
    </row>
    <row r="11" spans="1:9" ht="12.75" customHeight="1">
      <c r="C11" s="177" t="str">
        <f>TT_CFG("Video Architecture")</f>
        <v>Video Architecture</v>
      </c>
      <c r="D11" s="176"/>
      <c r="E11" s="342" t="s">
        <v>183</v>
      </c>
      <c r="F11" s="338"/>
      <c r="G11" s="342" t="s">
        <v>183</v>
      </c>
      <c r="H11" s="338"/>
      <c r="I11" s="294"/>
    </row>
    <row r="12" spans="1:9" ht="12.75" customHeight="1">
      <c r="C12" s="177" t="str">
        <f>TT_CFG("Graphics")</f>
        <v>Graphics</v>
      </c>
      <c r="D12" s="176"/>
      <c r="E12" s="342" t="s">
        <v>1820</v>
      </c>
      <c r="F12" s="338"/>
      <c r="G12" s="342" t="s">
        <v>1820</v>
      </c>
      <c r="H12" s="338"/>
      <c r="I12" s="294"/>
    </row>
    <row r="13" spans="1:9" ht="12.75" customHeight="1">
      <c r="C13" s="177" t="str">
        <f>TT_CFG("Vram")</f>
        <v>Vram</v>
      </c>
      <c r="D13" s="176"/>
      <c r="E13" s="342" t="s">
        <v>166</v>
      </c>
      <c r="F13" s="338"/>
      <c r="G13" s="342" t="s">
        <v>166</v>
      </c>
      <c r="H13" s="338"/>
      <c r="I13" s="294"/>
    </row>
    <row r="14" spans="1:9" ht="12.75" customHeight="1">
      <c r="C14" s="177" t="str">
        <f>TT_CFG("Display Panel")</f>
        <v>Display Panel</v>
      </c>
      <c r="D14" s="176"/>
      <c r="E14" s="342" t="s">
        <v>1819</v>
      </c>
      <c r="F14" s="338"/>
      <c r="G14" s="342" t="s">
        <v>1819</v>
      </c>
      <c r="H14" s="338"/>
      <c r="I14" s="294"/>
    </row>
    <row r="15" spans="1:9" ht="12.75" customHeight="1">
      <c r="C15" s="177" t="str">
        <f>TT_CFG("Memory Slot 1")</f>
        <v>Memory Slot 1</v>
      </c>
      <c r="D15" s="176"/>
      <c r="E15" s="342" t="s">
        <v>2782</v>
      </c>
      <c r="F15" s="338"/>
      <c r="G15" s="342" t="s">
        <v>2782</v>
      </c>
      <c r="H15" s="338"/>
      <c r="I15" s="294"/>
    </row>
    <row r="16" spans="1:9" ht="12.75" customHeight="1">
      <c r="C16" s="177" t="str">
        <f>TT_CFG("Memory Slot 2")</f>
        <v>Memory Slot 2</v>
      </c>
      <c r="D16" s="176"/>
      <c r="E16" s="342" t="s">
        <v>166</v>
      </c>
      <c r="F16" s="338"/>
      <c r="G16" s="342" t="s">
        <v>166</v>
      </c>
      <c r="H16" s="338"/>
      <c r="I16" s="294"/>
    </row>
    <row r="17" spans="3:10" ht="12.75" customHeight="1">
      <c r="C17" s="177" t="str">
        <f>TT_CFG("Memory Slot 3")</f>
        <v>Memory Slot 3</v>
      </c>
      <c r="D17" s="176"/>
      <c r="E17" s="342" t="s">
        <v>166</v>
      </c>
      <c r="F17" s="338"/>
      <c r="G17" s="342" t="s">
        <v>166</v>
      </c>
      <c r="H17" s="338"/>
      <c r="I17" s="345"/>
      <c r="J17" s="346"/>
    </row>
    <row r="18" spans="3:10" ht="12.75" customHeight="1">
      <c r="C18" s="177" t="str">
        <f>TT_CFG("Memory Slot 4")</f>
        <v>Memory Slot 4</v>
      </c>
      <c r="D18" s="176"/>
      <c r="E18" s="342" t="s">
        <v>166</v>
      </c>
      <c r="F18" s="338"/>
      <c r="G18" s="342" t="s">
        <v>166</v>
      </c>
      <c r="H18" s="338"/>
      <c r="I18" s="345"/>
      <c r="J18" s="346"/>
    </row>
    <row r="19" spans="3:10" ht="12.75" customHeight="1">
      <c r="C19" s="177" t="str">
        <f>TT_CFG("Hard Drive")</f>
        <v>Hard Drive</v>
      </c>
      <c r="D19" s="176"/>
      <c r="E19" s="342" t="s">
        <v>2783</v>
      </c>
      <c r="F19" s="338"/>
      <c r="G19" s="342" t="s">
        <v>2783</v>
      </c>
      <c r="H19" s="338"/>
      <c r="I19" s="294"/>
    </row>
    <row r="20" spans="3:10" ht="12.75" customHeight="1">
      <c r="C20" s="177" t="str">
        <f>TT_CFG("Bluetooth Module")</f>
        <v>Bluetooth Module</v>
      </c>
      <c r="D20" s="176"/>
      <c r="E20" s="342" t="s">
        <v>2784</v>
      </c>
      <c r="F20" s="338"/>
      <c r="G20" s="342" t="s">
        <v>2784</v>
      </c>
      <c r="H20" s="338"/>
      <c r="I20" s="294"/>
    </row>
    <row r="21" spans="3:10" ht="12.75" customHeight="1">
      <c r="C21" s="177" t="str">
        <f>TT_CFG("Wireless Lan")</f>
        <v>Wireless Lan</v>
      </c>
      <c r="D21" s="176"/>
      <c r="E21" s="342" t="s">
        <v>2784</v>
      </c>
      <c r="F21" s="338"/>
      <c r="G21" s="342" t="s">
        <v>2784</v>
      </c>
      <c r="H21" s="338"/>
      <c r="I21" s="294"/>
    </row>
    <row r="22" spans="3:10" ht="12.75" customHeight="1">
      <c r="C22" s="177" t="str">
        <f>TT_CFG("Wireless Wan")</f>
        <v>Wireless Wan</v>
      </c>
      <c r="D22" s="176"/>
      <c r="E22" s="342" t="s">
        <v>2785</v>
      </c>
      <c r="F22" s="338"/>
      <c r="G22" s="342" t="s">
        <v>2785</v>
      </c>
      <c r="H22" s="338"/>
      <c r="I22" s="294"/>
    </row>
    <row r="23" spans="3:10" ht="12.75" customHeight="1">
      <c r="C23" s="177" t="str">
        <f>TT_CFG("Wired Nic")</f>
        <v>Wired Nic</v>
      </c>
      <c r="D23" s="176"/>
      <c r="E23" s="342" t="s">
        <v>166</v>
      </c>
      <c r="F23" s="338"/>
      <c r="G23" s="342" t="s">
        <v>166</v>
      </c>
      <c r="H23" s="338"/>
      <c r="I23" s="294"/>
    </row>
    <row r="24" spans="3:10" ht="12.75" customHeight="1">
      <c r="C24" s="177" t="str">
        <f>TT_CFG("Modem")</f>
        <v>Modem</v>
      </c>
      <c r="D24" s="176"/>
      <c r="E24" s="342" t="s">
        <v>166</v>
      </c>
      <c r="F24" s="338"/>
      <c r="G24" s="342" t="s">
        <v>166</v>
      </c>
      <c r="H24" s="338"/>
      <c r="I24" s="294"/>
    </row>
    <row r="25" spans="3:10" ht="12.75" customHeight="1">
      <c r="C25" s="177" t="str">
        <f>TT_CFG("Camera")</f>
        <v>Camera</v>
      </c>
      <c r="D25" s="176"/>
      <c r="E25" s="342" t="s">
        <v>2786</v>
      </c>
      <c r="F25" s="338"/>
      <c r="G25" s="342" t="s">
        <v>2786</v>
      </c>
      <c r="H25" s="338"/>
      <c r="I25" s="294"/>
    </row>
    <row r="26" spans="3:10" ht="12.75" customHeight="1">
      <c r="C26" s="177" t="str">
        <f>TT_CFG("Fingerprint Reader")</f>
        <v>Fingerprint Reader</v>
      </c>
      <c r="D26" s="176"/>
      <c r="E26" s="342" t="s">
        <v>166</v>
      </c>
      <c r="F26" s="338"/>
      <c r="G26" s="342" t="s">
        <v>166</v>
      </c>
      <c r="H26" s="338"/>
      <c r="I26" s="294"/>
    </row>
    <row r="27" spans="3:10" ht="12.75" customHeight="1">
      <c r="C27" s="177" t="str">
        <f>TT_CFG("Unit Upgrade Bay Device")</f>
        <v>Unit Upgrade Bay Device</v>
      </c>
      <c r="D27" s="176"/>
      <c r="E27" s="342" t="s">
        <v>166</v>
      </c>
      <c r="F27" s="338"/>
      <c r="G27" s="342" t="s">
        <v>166</v>
      </c>
      <c r="H27" s="338"/>
      <c r="I27" s="294"/>
    </row>
    <row r="28" spans="3:10" ht="12.75" customHeight="1">
      <c r="C28" s="177" t="str">
        <f>TT_CFG("Dock Type")</f>
        <v>Dock Type</v>
      </c>
      <c r="D28" s="176"/>
      <c r="E28" s="342" t="s">
        <v>166</v>
      </c>
      <c r="F28" s="338"/>
      <c r="G28" s="342" t="s">
        <v>166</v>
      </c>
      <c r="H28" s="338"/>
      <c r="I28" s="294"/>
    </row>
    <row r="29" spans="3:10" ht="12.75" customHeight="1">
      <c r="C29" s="177" t="str">
        <f>TT_CFG("Dock Bay Device")</f>
        <v>Dock Bay Device</v>
      </c>
      <c r="D29" s="176"/>
      <c r="E29" s="342" t="s">
        <v>166</v>
      </c>
      <c r="F29" s="338"/>
      <c r="G29" s="342" t="s">
        <v>166</v>
      </c>
      <c r="H29" s="338"/>
      <c r="I29" s="294"/>
    </row>
    <row r="30" spans="3:10" ht="12.75" customHeight="1">
      <c r="C30" s="177" t="str">
        <f>TT_CFG("Touchpad Pointstick Combo")</f>
        <v>Touchpad Pointstick Combo</v>
      </c>
      <c r="D30" s="176"/>
      <c r="E30" s="342" t="s">
        <v>283</v>
      </c>
      <c r="F30" s="338"/>
      <c r="G30" s="342" t="s">
        <v>283</v>
      </c>
      <c r="H30" s="338"/>
      <c r="I30" s="294"/>
    </row>
    <row r="31" spans="3:10" ht="12.75" customHeight="1">
      <c r="C31" s="177" t="str">
        <f>TT_CFG("Keyboard")</f>
        <v>Keyboard</v>
      </c>
      <c r="D31" s="176"/>
      <c r="E31" s="342" t="s">
        <v>239</v>
      </c>
      <c r="F31" s="338"/>
      <c r="G31" s="342" t="s">
        <v>239</v>
      </c>
      <c r="H31" s="338"/>
      <c r="I31" s="294"/>
    </row>
    <row r="32" spans="3:10" ht="12.75" customHeight="1">
      <c r="C32" s="177" t="str">
        <f>TT_CFG("Unit Battery")</f>
        <v>Unit Battery</v>
      </c>
      <c r="D32" s="176"/>
      <c r="E32" s="342" t="s">
        <v>284</v>
      </c>
      <c r="F32" s="338"/>
      <c r="G32" s="342" t="s">
        <v>284</v>
      </c>
      <c r="H32" s="338"/>
      <c r="I32" s="294"/>
    </row>
    <row r="33" spans="3:9" ht="12.75" customHeight="1">
      <c r="C33" s="177" t="str">
        <f>TT_CFG("Travel Battery")</f>
        <v>Travel Battery</v>
      </c>
      <c r="D33" s="176"/>
      <c r="E33" s="342" t="s">
        <v>166</v>
      </c>
      <c r="F33" s="338"/>
      <c r="G33" s="342" t="s">
        <v>166</v>
      </c>
      <c r="H33" s="338"/>
      <c r="I33" s="294"/>
    </row>
    <row r="36" spans="3:9" ht="18">
      <c r="C36" s="178" t="str">
        <f>TT_SUITE("KBC", -1, 1)</f>
        <v>▼ KBC</v>
      </c>
      <c r="D36" s="179" t="str">
        <f>TT_ROLLUP(-1, D36, D36)</f>
        <v/>
      </c>
      <c r="E36" s="179" t="str">
        <f>TT_ROLLUP(-1, E36, E36)</f>
        <v/>
      </c>
      <c r="F36" s="293"/>
      <c r="G36" s="179" t="str">
        <f>TT_ROLLUP(-1, G36, G36)</f>
        <v/>
      </c>
      <c r="H36" s="293"/>
      <c r="I36" s="294"/>
    </row>
    <row r="37" spans="3:9" ht="15">
      <c r="C37" s="297" t="s">
        <v>153</v>
      </c>
      <c r="D37" s="297" t="str">
        <f>TT_LOCK(5)</f>
        <v/>
      </c>
      <c r="E37" s="297" t="s">
        <v>2483</v>
      </c>
      <c r="F37" s="293"/>
      <c r="G37" s="297" t="s">
        <v>2483</v>
      </c>
      <c r="H37" s="293"/>
      <c r="I37" s="294"/>
    </row>
    <row r="38" spans="3:9" ht="15">
      <c r="C38" s="297" t="s">
        <v>2484</v>
      </c>
      <c r="D38" s="297" t="str">
        <f>TT_LOCK(5)</f>
        <v/>
      </c>
      <c r="E38" s="297"/>
      <c r="F38" s="293"/>
      <c r="G38" s="297"/>
      <c r="H38" s="293"/>
      <c r="I38" s="294"/>
    </row>
    <row r="39" spans="3:9" ht="15">
      <c r="C39" s="297" t="s">
        <v>2485</v>
      </c>
      <c r="D39" s="297" t="str">
        <f>TT_LOCK(5)</f>
        <v/>
      </c>
      <c r="E39" s="297"/>
      <c r="F39" s="293"/>
      <c r="G39" s="297"/>
      <c r="H39" s="293"/>
      <c r="I39" s="294"/>
    </row>
    <row r="40" spans="3:9" ht="15">
      <c r="C40" s="297" t="s">
        <v>2486</v>
      </c>
      <c r="D40" s="297" t="str">
        <f>TT_LOCK(5)</f>
        <v/>
      </c>
      <c r="E40" s="297"/>
      <c r="F40" s="293"/>
      <c r="G40" s="297"/>
      <c r="H40" s="293"/>
      <c r="I40" s="294"/>
    </row>
    <row r="41" spans="3:9" ht="15">
      <c r="C41" s="297" t="s">
        <v>2487</v>
      </c>
      <c r="D41" s="297" t="str">
        <f>TT_LOCK(5)</f>
        <v/>
      </c>
      <c r="E41" s="297"/>
      <c r="F41" s="293"/>
      <c r="G41" s="297"/>
      <c r="H41" s="293"/>
      <c r="I41" s="294"/>
    </row>
    <row r="42" spans="3:9" ht="15">
      <c r="C42" s="297" t="str">
        <f>TT_CFG("Environment")</f>
        <v>Environment</v>
      </c>
      <c r="D42" s="297" t="s">
        <v>661</v>
      </c>
      <c r="E42" s="343"/>
      <c r="F42" s="344"/>
      <c r="G42" s="343" t="s">
        <v>2886</v>
      </c>
      <c r="H42" s="344"/>
      <c r="I42" s="294"/>
    </row>
    <row r="43" spans="3:9" ht="15">
      <c r="C43" s="180" t="str">
        <f>TT_CASE("Bezel Buttons: Wireless Hardware button (Enable/Disable), and other bezel buttons", -1, 1)</f>
        <v xml:space="preserve"> Bezel Buttons: Wireless Hardware button (Enable/Disable), and other bezel buttons</v>
      </c>
      <c r="D43" s="136" t="str">
        <f>TT_CYCLE(-1)</f>
        <v>●</v>
      </c>
      <c r="E43" s="141" t="str">
        <f>TT_TR("X", "", "")</f>
        <v>●</v>
      </c>
      <c r="F43" s="184" t="s">
        <v>2991</v>
      </c>
      <c r="G43" s="141" t="str">
        <f>TT_TR("X", "", "")</f>
        <v>●</v>
      </c>
      <c r="H43" s="184" t="s">
        <v>2699</v>
      </c>
      <c r="I43" s="294"/>
    </row>
    <row r="44" spans="3:9" ht="15">
      <c r="C44" s="180" t="str">
        <f>TT_CASE("Keyb Function Keys (I.E Fn-F4, Fn-F5, Fn-F8, Fn-F11, Etc.)", -1, 1)</f>
        <v xml:space="preserve"> Keyb Function Keys (I.E Fn-F4, Fn-F5, Fn-F8, Fn-F11, Etc.)</v>
      </c>
      <c r="D44" s="136" t="str">
        <f>TT_CYCLE(-1)</f>
        <v>●</v>
      </c>
      <c r="E44" s="141" t="str">
        <f>TT_TR("X", "", "")</f>
        <v>●</v>
      </c>
      <c r="F44" s="184" t="s">
        <v>2991</v>
      </c>
      <c r="G44" s="141" t="str">
        <f>TT_TR("X", "", "")</f>
        <v>●</v>
      </c>
      <c r="H44" s="184" t="s">
        <v>2699</v>
      </c>
      <c r="I44" s="294"/>
    </row>
    <row r="45" spans="3:9" s="250" customFormat="1" ht="18">
      <c r="C45" s="265" t="str">
        <f>TT_CASE("Fn Key Switch", -1, 3)</f>
        <v xml:space="preserve"> Fn Key Switch</v>
      </c>
      <c r="D45" s="136" t="str">
        <f>TT_CYCLE(-1)</f>
        <v>●</v>
      </c>
      <c r="E45" s="141" t="str">
        <f>TT_TR("X", "", "")</f>
        <v>●</v>
      </c>
      <c r="F45" s="191" t="s">
        <v>2991</v>
      </c>
      <c r="G45" s="141" t="str">
        <f>TT_TR("X", "", "")</f>
        <v>●</v>
      </c>
      <c r="H45" s="191" t="s">
        <v>2699</v>
      </c>
      <c r="I45" s="251"/>
    </row>
    <row r="46" spans="3:9" ht="15">
      <c r="C46" s="180" t="str">
        <f>TT_CASE("Deep Sleep", -1, 1)</f>
        <v xml:space="preserve"> Deep Sleep</v>
      </c>
      <c r="D46" s="136" t="str">
        <f>TT_CYCLE(-1)</f>
        <v>●</v>
      </c>
      <c r="E46" s="141" t="str">
        <f>TT_TR("X", "", "")</f>
        <v>●</v>
      </c>
      <c r="F46" s="184" t="s">
        <v>2991</v>
      </c>
      <c r="G46" s="141" t="str">
        <f>TT_TR("X", "", "")</f>
        <v>●</v>
      </c>
      <c r="H46" s="184" t="s">
        <v>2699</v>
      </c>
      <c r="I46" s="294"/>
    </row>
    <row r="47" spans="3:9" ht="18">
      <c r="C47" s="178" t="str">
        <f>TT_SUITE("Public / Private WMI", -1, 1)</f>
        <v>▼ Public / Private WMI</v>
      </c>
      <c r="D47" s="179" t="str">
        <f>TT_ROLLUP(-1, D47, D47)</f>
        <v/>
      </c>
      <c r="E47" s="179" t="str">
        <f>TT_ROLLUP(-1, E47, E47)</f>
        <v/>
      </c>
      <c r="F47" s="293"/>
      <c r="G47" s="179" t="str">
        <f>TT_ROLLUP(-1, G47, G47)</f>
        <v/>
      </c>
      <c r="H47" s="293"/>
      <c r="I47" s="294"/>
    </row>
    <row r="48" spans="3:9" ht="20.25" customHeight="1">
      <c r="C48" s="297" t="s">
        <v>153</v>
      </c>
      <c r="D48" s="297" t="str">
        <f>TT_LOCK(5)</f>
        <v/>
      </c>
      <c r="E48" s="297" t="s">
        <v>2483</v>
      </c>
      <c r="F48" s="293"/>
      <c r="G48" s="297" t="s">
        <v>2483</v>
      </c>
      <c r="H48" s="293"/>
      <c r="I48" s="294"/>
    </row>
    <row r="49" spans="3:9" ht="20.25" customHeight="1">
      <c r="C49" s="297" t="s">
        <v>2484</v>
      </c>
      <c r="D49" s="297" t="str">
        <f>TT_LOCK(5)</f>
        <v/>
      </c>
      <c r="E49" s="297"/>
      <c r="F49" s="293"/>
      <c r="G49" s="297"/>
      <c r="H49" s="293"/>
      <c r="I49" s="294"/>
    </row>
    <row r="50" spans="3:9" ht="20.25" customHeight="1">
      <c r="C50" s="297" t="s">
        <v>2485</v>
      </c>
      <c r="D50" s="297" t="str">
        <f>TT_LOCK(5)</f>
        <v/>
      </c>
      <c r="E50" s="297"/>
      <c r="F50" s="293"/>
      <c r="G50" s="297"/>
      <c r="H50" s="293"/>
      <c r="I50" s="294"/>
    </row>
    <row r="51" spans="3:9" ht="15">
      <c r="C51" s="297" t="s">
        <v>2486</v>
      </c>
      <c r="D51" s="297" t="str">
        <f>TT_LOCK(5)</f>
        <v/>
      </c>
      <c r="E51" s="297"/>
      <c r="F51" s="293"/>
      <c r="G51" s="297"/>
      <c r="H51" s="293"/>
      <c r="I51" s="294"/>
    </row>
    <row r="52" spans="3:9" ht="20.25" customHeight="1">
      <c r="C52" s="297" t="s">
        <v>2487</v>
      </c>
      <c r="D52" s="297" t="str">
        <f>TT_LOCK(5)</f>
        <v/>
      </c>
      <c r="E52" s="297"/>
      <c r="F52" s="293"/>
      <c r="G52" s="297"/>
      <c r="H52" s="293"/>
      <c r="I52" s="294"/>
    </row>
    <row r="53" spans="3:9" ht="15">
      <c r="C53" s="297" t="str">
        <f>TT_CFG("Environment")</f>
        <v>Environment</v>
      </c>
      <c r="D53" s="297" t="s">
        <v>661</v>
      </c>
      <c r="E53" s="343"/>
      <c r="F53" s="344"/>
      <c r="G53" s="343"/>
      <c r="H53" s="344"/>
      <c r="I53" s="294"/>
    </row>
    <row r="54" spans="3:9" ht="15">
      <c r="C54" s="183" t="str">
        <f>TT_CASE("Power Control (WinPVT) - Overnight", -1, 1, "", "")</f>
        <v xml:space="preserve"> Power Control (WinPVT) - Overnight</v>
      </c>
      <c r="D54" s="136" t="str">
        <f>TT_CYCLE(-1)</f>
        <v>●</v>
      </c>
      <c r="E54" s="187" t="str">
        <f>TT_TR("X", "", "")</f>
        <v>●</v>
      </c>
      <c r="F54" s="184" t="s">
        <v>2991</v>
      </c>
      <c r="G54" s="187" t="str">
        <f>TT_TR("X", "", "")</f>
        <v>●</v>
      </c>
      <c r="H54" s="184" t="s">
        <v>2700</v>
      </c>
      <c r="I54" s="294"/>
    </row>
    <row r="55" spans="3:9" ht="18">
      <c r="C55" s="188" t="str">
        <f>TT_SUITE("EFI Application Validation", -1, 1)</f>
        <v>▼ EFI Application Validation</v>
      </c>
      <c r="D55" s="189" t="str">
        <f>TT_ROLLUP(-1, D55, D55)</f>
        <v/>
      </c>
      <c r="E55" s="190" t="str">
        <f>TT_ROLLUP(-1, E55, E55)</f>
        <v/>
      </c>
      <c r="F55" s="191"/>
      <c r="G55" s="190" t="str">
        <f>TT_ROLLUP(-1, G55, G55)</f>
        <v/>
      </c>
      <c r="H55" s="191"/>
      <c r="I55" s="294"/>
    </row>
    <row r="56" spans="3:9" ht="18">
      <c r="C56" s="297" t="s">
        <v>153</v>
      </c>
      <c r="D56" s="296" t="str">
        <f>TT_LOCK(5)</f>
        <v/>
      </c>
      <c r="E56" s="296" t="s">
        <v>2483</v>
      </c>
      <c r="F56" s="191"/>
      <c r="G56" s="296" t="s">
        <v>2483</v>
      </c>
      <c r="H56" s="191"/>
      <c r="I56" s="294"/>
    </row>
    <row r="57" spans="3:9" ht="18">
      <c r="C57" s="297" t="s">
        <v>2484</v>
      </c>
      <c r="D57" s="297" t="str">
        <f>TT_LOCK(5)</f>
        <v/>
      </c>
      <c r="E57" s="296"/>
      <c r="F57" s="191"/>
      <c r="G57" s="296"/>
      <c r="H57" s="191"/>
      <c r="I57" s="294"/>
    </row>
    <row r="58" spans="3:9" ht="18">
      <c r="C58" s="297" t="s">
        <v>2485</v>
      </c>
      <c r="D58" s="297" t="str">
        <f>TT_LOCK(5)</f>
        <v/>
      </c>
      <c r="E58" s="296"/>
      <c r="F58" s="191"/>
      <c r="G58" s="296"/>
      <c r="H58" s="191"/>
      <c r="I58" s="294"/>
    </row>
    <row r="59" spans="3:9" ht="15">
      <c r="C59" s="297" t="s">
        <v>2486</v>
      </c>
      <c r="D59" s="297" t="str">
        <f>TT_LOCK(5)</f>
        <v/>
      </c>
      <c r="E59" s="297"/>
      <c r="F59" s="293"/>
      <c r="G59" s="297"/>
      <c r="H59" s="293"/>
      <c r="I59" s="294"/>
    </row>
    <row r="60" spans="3:9" ht="18">
      <c r="C60" s="297" t="str">
        <f>TT_CFG("Environment")</f>
        <v>Environment</v>
      </c>
      <c r="D60" s="296" t="s">
        <v>661</v>
      </c>
      <c r="E60" s="339"/>
      <c r="F60" s="340"/>
      <c r="G60" s="339"/>
      <c r="H60" s="340"/>
      <c r="I60" s="294"/>
    </row>
    <row r="61" spans="3:9" ht="18">
      <c r="C61" s="197" t="str">
        <f>TT_CASE("HP System Diagnostics (Debug/Repair/Factory and Test launch)", -1, 1)</f>
        <v xml:space="preserve"> HP System Diagnostics (Debug/Repair/Factory and Test launch)</v>
      </c>
      <c r="D61" s="136" t="str">
        <f>TT_CYCLE(-1)</f>
        <v>●</v>
      </c>
      <c r="E61" s="141" t="str">
        <f>TT_TR("X", "", "")</f>
        <v>●</v>
      </c>
      <c r="F61" s="191" t="s">
        <v>2991</v>
      </c>
      <c r="G61" s="141" t="str">
        <f>TT_TR("X", "", "")</f>
        <v>●</v>
      </c>
      <c r="H61" s="191" t="s">
        <v>2701</v>
      </c>
      <c r="I61" s="294"/>
    </row>
    <row r="62" spans="3:9" ht="18">
      <c r="C62" s="188" t="str">
        <f>TT_SUITE("Port and Devices functionality", -1, 1)</f>
        <v>▼ Port and Devices functionality</v>
      </c>
      <c r="D62" s="189" t="str">
        <f>TT_ROLLUP(-1, D62, D62)</f>
        <v/>
      </c>
      <c r="E62" s="190" t="str">
        <f>TT_ROLLUP(-1, E62, E62)</f>
        <v/>
      </c>
      <c r="F62" s="191"/>
      <c r="G62" s="190" t="str">
        <f>TT_ROLLUP(-1, G62, G62)</f>
        <v/>
      </c>
      <c r="H62" s="191"/>
      <c r="I62" s="294"/>
    </row>
    <row r="63" spans="3:9" ht="18">
      <c r="C63" s="297" t="s">
        <v>153</v>
      </c>
      <c r="D63" s="296" t="str">
        <f>TT_LOCK(5)</f>
        <v/>
      </c>
      <c r="E63" s="296" t="s">
        <v>2483</v>
      </c>
      <c r="F63" s="191"/>
      <c r="G63" s="296" t="s">
        <v>2483</v>
      </c>
      <c r="H63" s="191"/>
      <c r="I63" s="294"/>
    </row>
    <row r="64" spans="3:9" ht="18">
      <c r="C64" s="297" t="s">
        <v>2484</v>
      </c>
      <c r="D64" s="297" t="str">
        <f>TT_LOCK(5)</f>
        <v/>
      </c>
      <c r="E64" s="296"/>
      <c r="F64" s="191"/>
      <c r="G64" s="296"/>
      <c r="H64" s="191"/>
      <c r="I64" s="294"/>
    </row>
    <row r="65" spans="3:10" ht="18">
      <c r="C65" s="297" t="s">
        <v>2485</v>
      </c>
      <c r="D65" s="297" t="str">
        <f>TT_LOCK(5)</f>
        <v/>
      </c>
      <c r="E65" s="296"/>
      <c r="F65" s="191"/>
      <c r="G65" s="296"/>
      <c r="H65" s="191"/>
      <c r="I65" s="294"/>
    </row>
    <row r="66" spans="3:10" ht="15">
      <c r="C66" s="297" t="s">
        <v>2486</v>
      </c>
      <c r="D66" s="297" t="str">
        <f>TT_LOCK(5)</f>
        <v/>
      </c>
      <c r="E66" s="297"/>
      <c r="F66" s="293"/>
      <c r="G66" s="297"/>
      <c r="H66" s="293"/>
      <c r="I66" s="294"/>
    </row>
    <row r="67" spans="3:10" ht="18">
      <c r="C67" s="297" t="str">
        <f>TT_CFG("Environment")</f>
        <v>Environment</v>
      </c>
      <c r="D67" s="296" t="s">
        <v>661</v>
      </c>
      <c r="E67" s="339"/>
      <c r="F67" s="340"/>
      <c r="G67" s="339" t="s">
        <v>2953</v>
      </c>
      <c r="H67" s="340"/>
      <c r="I67" s="294"/>
    </row>
    <row r="68" spans="3:10" ht="18">
      <c r="C68" s="193" t="s">
        <v>2489</v>
      </c>
      <c r="D68" s="181"/>
      <c r="E68" s="194"/>
      <c r="F68" s="191"/>
      <c r="G68" s="194"/>
      <c r="H68" s="191"/>
      <c r="I68" s="294"/>
    </row>
    <row r="69" spans="3:10" ht="18">
      <c r="C69" s="180" t="str">
        <f>TT_CASE("Wireless Combo Card: Wlan/BlueTooth with secondary RF", -1, 1)</f>
        <v xml:space="preserve"> Wireless Combo Card: Wlan/BlueTooth with secondary RF</v>
      </c>
      <c r="D69" s="136" t="str">
        <f t="shared" ref="D69:D76" si="0">TT_CYCLE(-1)</f>
        <v>●</v>
      </c>
      <c r="E69" s="187" t="str">
        <f>TT_TR("X", "", "")</f>
        <v>●</v>
      </c>
      <c r="F69" s="191" t="s">
        <v>2991</v>
      </c>
      <c r="G69" s="187" t="str">
        <f>TT_TR("X", "", "")</f>
        <v>●</v>
      </c>
      <c r="H69" s="191" t="s">
        <v>2702</v>
      </c>
      <c r="I69" s="294"/>
    </row>
    <row r="70" spans="3:10" ht="18">
      <c r="C70" s="180" t="str">
        <f>TT_CASE("Wireless Combo Card: Wlan/BlueTooth with NO secondary RF", -1, 1)</f>
        <v xml:space="preserve"> Wireless Combo Card: Wlan/BlueTooth with NO secondary RF</v>
      </c>
      <c r="D70" s="278" t="str">
        <f t="shared" si="0"/>
        <v>NA</v>
      </c>
      <c r="E70" s="361"/>
      <c r="F70" s="191"/>
      <c r="G70" s="285" t="str">
        <f>TT_TR("NA", "", "Not support Wlan/Bluetooth with No secondary RF")</f>
        <v>NA</v>
      </c>
      <c r="H70" s="191" t="s">
        <v>2966</v>
      </c>
      <c r="I70" s="294"/>
    </row>
    <row r="71" spans="3:10" ht="18">
      <c r="C71" s="180" t="str">
        <f>TT_CASE("Wireless Combo Card: Wlan/WWAN with secondary RF", -1, 1)</f>
        <v xml:space="preserve"> Wireless Combo Card: Wlan/WWAN with secondary RF</v>
      </c>
      <c r="D71" s="278" t="str">
        <f t="shared" si="0"/>
        <v>NA</v>
      </c>
      <c r="E71" s="361"/>
      <c r="F71" s="191"/>
      <c r="G71" s="285" t="str">
        <f>TT_TR("NA", "", "Not support Wlan/WWan with secondary RF")</f>
        <v>NA</v>
      </c>
      <c r="H71" s="191" t="s">
        <v>2967</v>
      </c>
      <c r="I71" s="294"/>
    </row>
    <row r="72" spans="3:10" ht="18">
      <c r="C72" s="180" t="str">
        <f>TT_CASE("Wireless Combo Card: Wlan/WWAN with NO secondary RF", -1, 1)</f>
        <v xml:space="preserve"> Wireless Combo Card: Wlan/WWAN with NO secondary RF</v>
      </c>
      <c r="D72" s="278" t="str">
        <f t="shared" si="0"/>
        <v>NA</v>
      </c>
      <c r="E72" s="361"/>
      <c r="F72" s="191"/>
      <c r="G72" s="285" t="str">
        <f>TT_TR("NA", "", "Not support Wlan/wwan with no secondary RF")</f>
        <v>NA</v>
      </c>
      <c r="H72" s="191" t="s">
        <v>2968</v>
      </c>
      <c r="I72" s="294"/>
    </row>
    <row r="73" spans="3:10" ht="18">
      <c r="C73" s="265" t="str">
        <f>TT_CASE("WWAN Combo Card: WWAN/GPS with single RF", -1, 1)</f>
        <v xml:space="preserve"> WWAN Combo Card: WWAN/GPS with single RF</v>
      </c>
      <c r="D73" s="278" t="str">
        <f t="shared" si="0"/>
        <v>NA</v>
      </c>
      <c r="E73" s="361"/>
      <c r="F73" s="191"/>
      <c r="G73" s="285" t="str">
        <f>TT_TR("NA", "", "Not support Wwan/GPS with single RF")</f>
        <v>NA</v>
      </c>
      <c r="H73" s="191" t="s">
        <v>2969</v>
      </c>
      <c r="I73" s="294"/>
      <c r="J73" s="122"/>
    </row>
    <row r="74" spans="3:10" ht="18">
      <c r="C74" s="265" t="str">
        <f>TT_CASE("WWAN Combo Card: WWAN/GPS with secondary RF", -1, 1)</f>
        <v xml:space="preserve"> WWAN Combo Card: WWAN/GPS with secondary RF</v>
      </c>
      <c r="D74" s="136" t="str">
        <f t="shared" si="0"/>
        <v>●</v>
      </c>
      <c r="E74" s="187" t="str">
        <f>TT_TR("X", "", "")</f>
        <v>●</v>
      </c>
      <c r="F74" s="191" t="s">
        <v>2991</v>
      </c>
      <c r="G74" s="187" t="str">
        <f>TT_TR("X", "", "")</f>
        <v>●</v>
      </c>
      <c r="H74" s="191" t="s">
        <v>2702</v>
      </c>
      <c r="I74" s="294"/>
    </row>
    <row r="75" spans="3:10" ht="18">
      <c r="C75" s="180" t="str">
        <f>TT_CASE("Touch Pad", -1, 1)</f>
        <v xml:space="preserve"> Touch Pad</v>
      </c>
      <c r="D75" s="136" t="str">
        <f t="shared" si="0"/>
        <v>●</v>
      </c>
      <c r="E75" s="187" t="str">
        <f>TT_TR("X", "", "")</f>
        <v>●</v>
      </c>
      <c r="F75" s="191" t="s">
        <v>2991</v>
      </c>
      <c r="G75" s="187" t="str">
        <f>TT_TR("X", "", "")</f>
        <v>●</v>
      </c>
      <c r="H75" s="191" t="s">
        <v>2702</v>
      </c>
      <c r="I75" s="294"/>
    </row>
    <row r="76" spans="3:10" ht="18">
      <c r="C76" s="183" t="str">
        <f>TT_CASE("Image Sensor Support", -1, 1, "", "")</f>
        <v xml:space="preserve"> Image Sensor Support</v>
      </c>
      <c r="D76" s="136" t="str">
        <f t="shared" si="0"/>
        <v>●</v>
      </c>
      <c r="E76" s="187" t="str">
        <f>TT_TR("X", "", "")</f>
        <v>●</v>
      </c>
      <c r="F76" s="191" t="s">
        <v>2991</v>
      </c>
      <c r="G76" s="187" t="str">
        <f>TT_TR("X", "", "")</f>
        <v>●</v>
      </c>
      <c r="H76" s="191" t="s">
        <v>2702</v>
      </c>
      <c r="I76" s="294"/>
    </row>
    <row r="77" spans="3:10" ht="18">
      <c r="C77" s="195" t="s">
        <v>2490</v>
      </c>
      <c r="D77" s="181"/>
      <c r="E77" s="187"/>
      <c r="F77" s="191"/>
      <c r="G77" s="187"/>
      <c r="H77" s="191"/>
      <c r="I77" s="294"/>
    </row>
    <row r="78" spans="3:10" ht="18">
      <c r="C78" s="183" t="str">
        <f>TT_CASE("Lan / Wlan Switching (Enabled/Disabled)", -1, 1, "", "")</f>
        <v xml:space="preserve"> Lan / Wlan Switching (Enabled/Disabled)</v>
      </c>
      <c r="D78" s="136" t="str">
        <f>TT_CYCLE(-1)</f>
        <v>●</v>
      </c>
      <c r="E78" s="141" t="str">
        <f>TT_TR("X", "", "")</f>
        <v>●</v>
      </c>
      <c r="F78" s="191" t="s">
        <v>2991</v>
      </c>
      <c r="G78" s="141" t="str">
        <f>TT_TR("X", "", "")</f>
        <v>●</v>
      </c>
      <c r="H78" s="191" t="s">
        <v>2702</v>
      </c>
      <c r="I78" s="294"/>
    </row>
    <row r="79" spans="3:10" ht="18">
      <c r="C79" s="183" t="str">
        <f>TT_CASE("Ambient Light Sensor", -1, 1)</f>
        <v xml:space="preserve"> Ambient Light Sensor</v>
      </c>
      <c r="D79" s="276" t="str">
        <f>TT_CYCLE(-1)</f>
        <v>P</v>
      </c>
      <c r="E79" s="362"/>
      <c r="F79" s="191"/>
      <c r="G79" s="280" t="str">
        <f>TT_TR("P", "", "")</f>
        <v>P</v>
      </c>
      <c r="H79" s="191" t="s">
        <v>2963</v>
      </c>
      <c r="I79" s="294"/>
    </row>
    <row r="80" spans="3:10" ht="18">
      <c r="C80" s="183" t="str">
        <f>TT_CASE("Wake On Lid", -1, 1, "", "")</f>
        <v xml:space="preserve"> Wake On Lid</v>
      </c>
      <c r="D80" s="276" t="str">
        <f>TT_CYCLE(-1)</f>
        <v>P</v>
      </c>
      <c r="E80" s="362"/>
      <c r="F80" s="191"/>
      <c r="G80" s="280" t="str">
        <f>TT_TR("P", "", "")</f>
        <v>P</v>
      </c>
      <c r="H80" s="191" t="s">
        <v>2964</v>
      </c>
      <c r="I80" s="294"/>
    </row>
    <row r="81" spans="3:9" ht="18">
      <c r="C81" s="183" t="str">
        <f>TT_CASE("SmartCard Power Management", -1, 1, "", "")</f>
        <v xml:space="preserve"> SmartCard Power Management</v>
      </c>
      <c r="D81" s="278" t="str">
        <f>TT_CYCLE(-1)</f>
        <v>NA</v>
      </c>
      <c r="E81" s="363"/>
      <c r="F81" s="191"/>
      <c r="G81" s="284" t="str">
        <f>TT_TR("NA", "", "Not support SmartCard")</f>
        <v>NA</v>
      </c>
      <c r="H81" s="191" t="s">
        <v>2965</v>
      </c>
      <c r="I81" s="294"/>
    </row>
    <row r="82" spans="3:9" ht="18">
      <c r="C82" s="188" t="str">
        <f>TT_SUITE("EFI Application Validation - Core", -1, 1)</f>
        <v>▼ EFI Application Validation - Core</v>
      </c>
      <c r="D82" s="189" t="str">
        <f>TT_ROLLUP(-1, D82, D82)</f>
        <v/>
      </c>
      <c r="E82" s="190" t="str">
        <f>TT_ROLLUP(-1, E82, E82)</f>
        <v/>
      </c>
      <c r="F82" s="191"/>
      <c r="G82" s="190" t="str">
        <f>TT_ROLLUP(-1, G82, G82)</f>
        <v/>
      </c>
      <c r="H82" s="191"/>
      <c r="I82" s="294"/>
    </row>
    <row r="83" spans="3:9" ht="18">
      <c r="C83" s="297" t="s">
        <v>153</v>
      </c>
      <c r="D83" s="296" t="str">
        <f>TT_LOCK(5)</f>
        <v/>
      </c>
      <c r="E83" s="296" t="s">
        <v>2483</v>
      </c>
      <c r="F83" s="191"/>
      <c r="G83" s="296" t="s">
        <v>2483</v>
      </c>
      <c r="H83" s="191"/>
      <c r="I83" s="294"/>
    </row>
    <row r="84" spans="3:9" ht="18">
      <c r="C84" s="297" t="s">
        <v>2484</v>
      </c>
      <c r="D84" s="297" t="str">
        <f>TT_LOCK(5)</f>
        <v/>
      </c>
      <c r="E84" s="296"/>
      <c r="F84" s="191"/>
      <c r="G84" s="296"/>
      <c r="H84" s="191"/>
      <c r="I84" s="294"/>
    </row>
    <row r="85" spans="3:9" ht="18">
      <c r="C85" s="297" t="s">
        <v>2485</v>
      </c>
      <c r="D85" s="297" t="str">
        <f>TT_LOCK(5)</f>
        <v/>
      </c>
      <c r="E85" s="296"/>
      <c r="F85" s="191"/>
      <c r="G85" s="296"/>
      <c r="H85" s="191"/>
      <c r="I85" s="294"/>
    </row>
    <row r="86" spans="3:9" ht="15">
      <c r="C86" s="297" t="s">
        <v>2486</v>
      </c>
      <c r="D86" s="297" t="str">
        <f>TT_LOCK(5)</f>
        <v/>
      </c>
      <c r="E86" s="297"/>
      <c r="F86" s="293"/>
      <c r="G86" s="297"/>
      <c r="H86" s="293"/>
      <c r="I86" s="294"/>
    </row>
    <row r="87" spans="3:9" ht="18">
      <c r="C87" s="297" t="s">
        <v>2487</v>
      </c>
      <c r="D87" s="297" t="str">
        <f>TT_LOCK(5)</f>
        <v/>
      </c>
      <c r="E87" s="296"/>
      <c r="F87" s="191"/>
      <c r="G87" s="296"/>
      <c r="H87" s="191"/>
      <c r="I87" s="294"/>
    </row>
    <row r="88" spans="3:9" ht="18">
      <c r="C88" s="297" t="str">
        <f>TT_CFG("Environment")</f>
        <v>Environment</v>
      </c>
      <c r="D88" s="296" t="s">
        <v>661</v>
      </c>
      <c r="E88" s="339"/>
      <c r="F88" s="340"/>
      <c r="G88" s="339" t="s">
        <v>2953</v>
      </c>
      <c r="H88" s="340"/>
      <c r="I88" s="294"/>
    </row>
    <row r="89" spans="3:9" ht="18">
      <c r="C89" s="183" t="str">
        <f>TT_CASE("eReplogo functional test from UEFI", -1, 1, "Pre OS", "")</f>
        <v xml:space="preserve"> Pre OS: eReplogo functional test from UEFI</v>
      </c>
      <c r="D89" s="276" t="str">
        <f>TT_CYCLE(-1)</f>
        <v>P</v>
      </c>
      <c r="E89" s="362"/>
      <c r="F89" s="191"/>
      <c r="G89" s="280" t="str">
        <f>TT_TR("P", "", "")</f>
        <v>P</v>
      </c>
      <c r="H89" s="191" t="s">
        <v>2962</v>
      </c>
      <c r="I89" s="294"/>
    </row>
    <row r="90" spans="3:9" ht="18">
      <c r="C90" s="188" t="str">
        <f>TT_SUITE("ACPI Power Management Support", -1, 1)</f>
        <v>▼ ACPI Power Management Support</v>
      </c>
      <c r="D90" s="189" t="str">
        <f>TT_ROLLUP(-1, D90, D90)</f>
        <v/>
      </c>
      <c r="E90" s="190" t="str">
        <f>TT_ROLLUP(-1, E90, E90)</f>
        <v/>
      </c>
      <c r="F90" s="191"/>
      <c r="G90" s="190" t="str">
        <f>TT_ROLLUP(-1, G90, G90)</f>
        <v/>
      </c>
      <c r="H90" s="191"/>
      <c r="I90" s="294"/>
    </row>
    <row r="91" spans="3:9" ht="18">
      <c r="C91" s="297" t="s">
        <v>153</v>
      </c>
      <c r="D91" s="296" t="str">
        <f>TT_LOCK(5)</f>
        <v/>
      </c>
      <c r="E91" s="296" t="s">
        <v>2483</v>
      </c>
      <c r="F91" s="191"/>
      <c r="G91" s="296" t="s">
        <v>2483</v>
      </c>
      <c r="H91" s="191"/>
      <c r="I91" s="294"/>
    </row>
    <row r="92" spans="3:9" ht="18">
      <c r="C92" s="297" t="s">
        <v>2484</v>
      </c>
      <c r="D92" s="297" t="str">
        <f>TT_LOCK(5)</f>
        <v/>
      </c>
      <c r="E92" s="296"/>
      <c r="F92" s="191"/>
      <c r="G92" s="296"/>
      <c r="H92" s="191"/>
      <c r="I92" s="294"/>
    </row>
    <row r="93" spans="3:9" ht="18">
      <c r="C93" s="297" t="s">
        <v>2485</v>
      </c>
      <c r="D93" s="297" t="str">
        <f>TT_LOCK(5)</f>
        <v/>
      </c>
      <c r="E93" s="296"/>
      <c r="F93" s="191"/>
      <c r="G93" s="296"/>
      <c r="H93" s="191"/>
      <c r="I93" s="294"/>
    </row>
    <row r="94" spans="3:9" ht="15">
      <c r="C94" s="297" t="s">
        <v>2486</v>
      </c>
      <c r="D94" s="297" t="str">
        <f>TT_LOCK(5)</f>
        <v/>
      </c>
      <c r="E94" s="297"/>
      <c r="F94" s="293"/>
      <c r="G94" s="297"/>
      <c r="H94" s="293"/>
      <c r="I94" s="294"/>
    </row>
    <row r="95" spans="3:9" ht="18">
      <c r="C95" s="297" t="s">
        <v>2487</v>
      </c>
      <c r="D95" s="297" t="str">
        <f>TT_LOCK(5)</f>
        <v/>
      </c>
      <c r="E95" s="296"/>
      <c r="F95" s="191"/>
      <c r="G95" s="296"/>
      <c r="H95" s="191"/>
      <c r="I95" s="294"/>
    </row>
    <row r="96" spans="3:9" ht="18">
      <c r="C96" s="297" t="str">
        <f>TT_CFG("Environment")</f>
        <v>Environment</v>
      </c>
      <c r="D96" s="296" t="s">
        <v>661</v>
      </c>
      <c r="E96" s="339"/>
      <c r="F96" s="340"/>
      <c r="G96" s="339"/>
      <c r="H96" s="340"/>
      <c r="I96" s="294"/>
    </row>
    <row r="97" spans="3:12" ht="15">
      <c r="C97" s="180" t="str">
        <f>TT_CASE("WinPVT (Accept/Quick, No Scmb)", -1, 1)</f>
        <v xml:space="preserve"> WinPVT (Accept/Quick, No Scmb)</v>
      </c>
      <c r="D97" s="136" t="str">
        <f>TT_CYCLE(-1)</f>
        <v>●</v>
      </c>
      <c r="E97" s="141" t="str">
        <f>TT_TR("X", "", "")</f>
        <v>●</v>
      </c>
      <c r="F97" s="184" t="s">
        <v>2991</v>
      </c>
      <c r="G97" s="141" t="str">
        <f>TT_TR("X", "", "")</f>
        <v>●</v>
      </c>
      <c r="H97" s="184" t="s">
        <v>2703</v>
      </c>
      <c r="I97" s="294"/>
    </row>
    <row r="98" spans="3:12" ht="15">
      <c r="C98" s="180" t="str">
        <f>TT_CASE("Battery Support: Critical Hibernation (Overnight)", -1, 1)</f>
        <v xml:space="preserve"> Battery Support: Critical Hibernation (Overnight)</v>
      </c>
      <c r="D98" s="136" t="str">
        <f>TT_CYCLE(-1)</f>
        <v>●</v>
      </c>
      <c r="E98" s="141" t="str">
        <f>TT_TR("X", "", "")</f>
        <v>●</v>
      </c>
      <c r="F98" s="184" t="s">
        <v>2991</v>
      </c>
      <c r="G98" s="141" t="str">
        <f>TT_TR("X", "", "")</f>
        <v>●</v>
      </c>
      <c r="H98" s="184" t="s">
        <v>2703</v>
      </c>
      <c r="I98" s="294"/>
    </row>
    <row r="99" spans="3:12" ht="15">
      <c r="C99" s="183" t="str">
        <f>TT_CASE("ACPI 5.0 support", -1, 1, "", "")</f>
        <v xml:space="preserve"> ACPI 5.0 support</v>
      </c>
      <c r="D99" s="136" t="str">
        <f>TT_CYCLE(-1)</f>
        <v>●</v>
      </c>
      <c r="E99" s="141" t="str">
        <f>TT_TR("X", "", "")</f>
        <v>●</v>
      </c>
      <c r="F99" s="184" t="s">
        <v>2991</v>
      </c>
      <c r="G99" s="141" t="str">
        <f>TT_TR("X", "", "")</f>
        <v>●</v>
      </c>
      <c r="H99" s="184" t="s">
        <v>2703</v>
      </c>
      <c r="I99" s="294"/>
    </row>
    <row r="100" spans="3:12">
      <c r="C100" s="266" t="str">
        <f>TT_CASE("RTC wake from S3,S4,S5 - ME ON", -1, 1)</f>
        <v xml:space="preserve"> RTC wake from S3,S4,S5 - ME ON</v>
      </c>
      <c r="D100" s="136" t="str">
        <f>TT_CYCLE(-1)</f>
        <v>●</v>
      </c>
      <c r="E100" s="141" t="str">
        <f>TT_TR("X", "", "")</f>
        <v>●</v>
      </c>
      <c r="F100" s="184" t="s">
        <v>2991</v>
      </c>
      <c r="G100" s="141" t="str">
        <f>TT_TR("X", "", "")</f>
        <v>●</v>
      </c>
      <c r="H100" s="184" t="s">
        <v>2703</v>
      </c>
      <c r="I100" s="294"/>
      <c r="L100" s="122"/>
    </row>
    <row r="101" spans="3:12">
      <c r="C101" s="266" t="str">
        <f>TT_CASE("RTC wake from S3,S4,S5 - ME Off", -1, 1)</f>
        <v xml:space="preserve"> RTC wake from S3,S4,S5 - ME Off</v>
      </c>
      <c r="D101" s="136" t="str">
        <f>TT_CYCLE(-1)</f>
        <v>●</v>
      </c>
      <c r="E101" s="141" t="str">
        <f>TT_TR("X", "", "")</f>
        <v>●</v>
      </c>
      <c r="F101" s="184" t="s">
        <v>2991</v>
      </c>
      <c r="G101" s="141" t="str">
        <f>TT_TR("X", "", "")</f>
        <v>●</v>
      </c>
      <c r="H101" s="184" t="s">
        <v>2703</v>
      </c>
      <c r="I101" s="294"/>
      <c r="K101" s="122"/>
      <c r="L101" s="122"/>
    </row>
    <row r="102" spans="3:12" ht="18">
      <c r="C102" s="188" t="str">
        <f>TT_SUITE("Bios Security Features", -1, 1)</f>
        <v>▼ Bios Security Features</v>
      </c>
      <c r="D102" s="189" t="str">
        <f>TT_ROLLUP(-1, D102, D102)</f>
        <v/>
      </c>
      <c r="E102" s="190" t="str">
        <f>TT_ROLLUP(-1, E102, E102)</f>
        <v/>
      </c>
      <c r="F102" s="191"/>
      <c r="G102" s="190" t="str">
        <f>TT_ROLLUP(-1, G102, G102)</f>
        <v/>
      </c>
      <c r="H102" s="191"/>
      <c r="I102" s="294"/>
    </row>
    <row r="103" spans="3:12" ht="18">
      <c r="C103" s="297" t="s">
        <v>153</v>
      </c>
      <c r="D103" s="296" t="str">
        <f>TT_LOCK(5)</f>
        <v/>
      </c>
      <c r="E103" s="296" t="s">
        <v>2483</v>
      </c>
      <c r="F103" s="191"/>
      <c r="G103" s="296" t="s">
        <v>2483</v>
      </c>
      <c r="H103" s="191"/>
      <c r="I103" s="294"/>
    </row>
    <row r="104" spans="3:12" ht="18">
      <c r="C104" s="297" t="s">
        <v>2484</v>
      </c>
      <c r="D104" s="297" t="str">
        <f>TT_LOCK(5)</f>
        <v/>
      </c>
      <c r="E104" s="296"/>
      <c r="F104" s="191"/>
      <c r="G104" s="296"/>
      <c r="H104" s="191"/>
      <c r="I104" s="294"/>
    </row>
    <row r="105" spans="3:12" ht="18">
      <c r="C105" s="297" t="s">
        <v>2485</v>
      </c>
      <c r="D105" s="297" t="str">
        <f>TT_LOCK(5)</f>
        <v/>
      </c>
      <c r="E105" s="296"/>
      <c r="F105" s="191"/>
      <c r="G105" s="296"/>
      <c r="H105" s="191"/>
      <c r="I105" s="294"/>
    </row>
    <row r="106" spans="3:12" ht="15">
      <c r="C106" s="297" t="s">
        <v>2486</v>
      </c>
      <c r="D106" s="297" t="str">
        <f>TT_LOCK(5)</f>
        <v/>
      </c>
      <c r="E106" s="297"/>
      <c r="F106" s="293"/>
      <c r="G106" s="297"/>
      <c r="H106" s="293"/>
      <c r="I106" s="294"/>
    </row>
    <row r="107" spans="3:12" ht="18">
      <c r="C107" s="297" t="s">
        <v>2487</v>
      </c>
      <c r="D107" s="297" t="str">
        <f>TT_LOCK(5)</f>
        <v/>
      </c>
      <c r="E107" s="296"/>
      <c r="F107" s="191"/>
      <c r="G107" s="296"/>
      <c r="H107" s="191"/>
      <c r="I107" s="294"/>
    </row>
    <row r="108" spans="3:12" ht="18">
      <c r="C108" s="297" t="str">
        <f>TT_CFG("Environment")</f>
        <v>Environment</v>
      </c>
      <c r="D108" s="296" t="s">
        <v>661</v>
      </c>
      <c r="E108" s="339"/>
      <c r="F108" s="340"/>
      <c r="G108" s="339" t="s">
        <v>2953</v>
      </c>
      <c r="H108" s="340"/>
      <c r="I108" s="294"/>
    </row>
    <row r="109" spans="3:12" ht="18">
      <c r="C109" s="180" t="str">
        <f>TT_CASE("HP Protect Tool User Creation, SSO, F10 validation, HP SpareKey 2.1", -1, 1)</f>
        <v xml:space="preserve"> HP Protect Tool User Creation, SSO, F10 validation, HP SpareKey 2.1</v>
      </c>
      <c r="D109" s="136" t="str">
        <f t="shared" ref="D109:D123" si="1">TT_CYCLE(-1)</f>
        <v>●</v>
      </c>
      <c r="E109" s="141" t="str">
        <f>TT_TR("X", "", "")</f>
        <v>●</v>
      </c>
      <c r="F109" s="191" t="s">
        <v>2992</v>
      </c>
      <c r="G109" s="141" t="str">
        <f>TT_TR("X", "", "")</f>
        <v>●</v>
      </c>
      <c r="H109" s="191" t="s">
        <v>2704</v>
      </c>
      <c r="I109" s="294"/>
    </row>
    <row r="110" spans="3:12" ht="18">
      <c r="C110" s="180" t="str">
        <f>TT_CASE("BIOS User - HP SpareKey Enrollment", -1, 1)</f>
        <v xml:space="preserve"> BIOS User - HP SpareKey Enrollment</v>
      </c>
      <c r="D110" s="136" t="str">
        <f t="shared" si="1"/>
        <v>●</v>
      </c>
      <c r="E110" s="141" t="str">
        <f>TT_TR("X", "", "")</f>
        <v>●</v>
      </c>
      <c r="F110" s="191" t="s">
        <v>2992</v>
      </c>
      <c r="G110" s="141" t="str">
        <f>TT_TR("X", "", "")</f>
        <v>●</v>
      </c>
      <c r="H110" s="191" t="s">
        <v>2704</v>
      </c>
      <c r="I110" s="294"/>
    </row>
    <row r="111" spans="3:12" ht="18">
      <c r="C111" s="180" t="str">
        <f>TT_CASE("Force Clear Finger Print Reset", -1, 1)</f>
        <v xml:space="preserve"> Force Clear Finger Print Reset</v>
      </c>
      <c r="D111" s="278" t="str">
        <f t="shared" si="1"/>
        <v>NA</v>
      </c>
      <c r="E111" s="363"/>
      <c r="F111" s="191"/>
      <c r="G111" s="284" t="str">
        <f>TT_TR("NA", "", "Not support Finger Print")</f>
        <v>NA</v>
      </c>
      <c r="H111" s="191" t="s">
        <v>2961</v>
      </c>
      <c r="I111" s="294"/>
    </row>
    <row r="112" spans="3:12" ht="18">
      <c r="C112" s="180" t="str">
        <f>TT_CASE("Security - Reset Bios Security To Factory Default (F10)", -1, 1)</f>
        <v xml:space="preserve"> Security - Reset Bios Security To Factory Default (F10)</v>
      </c>
      <c r="D112" s="136" t="str">
        <f t="shared" si="1"/>
        <v>●</v>
      </c>
      <c r="E112" s="141" t="str">
        <f>TT_TR("X", "", "")</f>
        <v>●</v>
      </c>
      <c r="F112" s="191" t="s">
        <v>2992</v>
      </c>
      <c r="G112" s="141" t="str">
        <f>TT_TR("X", "", "")</f>
        <v>●</v>
      </c>
      <c r="H112" s="191" t="s">
        <v>2704</v>
      </c>
      <c r="I112" s="294"/>
    </row>
    <row r="113" spans="3:9" ht="18">
      <c r="C113" s="180" t="str">
        <f>TT_CASE("SED Opal Support", -1, 1)</f>
        <v xml:space="preserve"> SED Opal Support</v>
      </c>
      <c r="D113" s="278" t="str">
        <f t="shared" si="1"/>
        <v>NA</v>
      </c>
      <c r="E113" s="363"/>
      <c r="F113" s="191"/>
      <c r="G113" s="284" t="str">
        <f>TT_TR("NA", "", "Not support SED HD .")</f>
        <v>NA</v>
      </c>
      <c r="H113" s="191" t="s">
        <v>2970</v>
      </c>
      <c r="I113" s="294"/>
    </row>
    <row r="114" spans="3:9" s="120" customFormat="1">
      <c r="C114" s="268" t="str">
        <f>TT_CASE("01 - CFN - Pending BIOS Update testing with HW Encrypted SED HDD", -1, 1)</f>
        <v xml:space="preserve"> 01 - CFN - Pending BIOS Update testing with HW Encrypted SED HDD</v>
      </c>
      <c r="D114" s="278" t="str">
        <f>TT_CYCLE(-1)</f>
        <v>NA</v>
      </c>
      <c r="E114" s="360"/>
      <c r="F114" s="138"/>
      <c r="G114" s="279" t="str">
        <f>TT_TR("NA", "", "Not support SED HD .")</f>
        <v>NA</v>
      </c>
      <c r="H114" s="138" t="s">
        <v>2971</v>
      </c>
      <c r="I114" s="124"/>
    </row>
    <row r="115" spans="3:9" s="120" customFormat="1">
      <c r="C115" s="268" t="str">
        <f>TT_CASE("02 - CFN - Performing_F11_Recovery_after_Warm_boot_with_HW_Encrypted_SED_HDD", -1, 1)</f>
        <v xml:space="preserve"> 02 - CFN - Performing_F11_Recovery_after_Warm_boot_with_HW_Encrypted_SED_HDD</v>
      </c>
      <c r="D115" s="278" t="str">
        <f>TT_CYCLE(-1)</f>
        <v>NA</v>
      </c>
      <c r="E115" s="360"/>
      <c r="F115" s="138"/>
      <c r="G115" s="279" t="str">
        <f>TT_TR("NA", "", "Not support SED HD .")</f>
        <v>NA</v>
      </c>
      <c r="H115" s="138" t="s">
        <v>2971</v>
      </c>
      <c r="I115" s="124"/>
    </row>
    <row r="116" spans="3:9" ht="18">
      <c r="C116" s="183" t="str">
        <f>TT_CASE("TPM PPI (Physical Presence Interface) (WinPVT)", -1, 1, "", "")</f>
        <v xml:space="preserve"> TPM PPI (Physical Presence Interface) (WinPVT)</v>
      </c>
      <c r="D116" s="136" t="str">
        <f t="shared" si="1"/>
        <v>●</v>
      </c>
      <c r="E116" s="141" t="str">
        <f>TT_TR("X", "", "")</f>
        <v>●</v>
      </c>
      <c r="F116" s="191" t="s">
        <v>2992</v>
      </c>
      <c r="G116" s="141" t="str">
        <f t="shared" ref="E116:G126" si="2">TT_TR("X", "", "")</f>
        <v>●</v>
      </c>
      <c r="H116" s="191" t="s">
        <v>2704</v>
      </c>
      <c r="I116" s="294"/>
    </row>
    <row r="117" spans="3:9" s="120" customFormat="1" ht="18">
      <c r="C117" s="145" t="str">
        <f>TT_CASE("CHINA_TPM", -1, 1)</f>
        <v xml:space="preserve"> CHINA_TPM</v>
      </c>
      <c r="D117" s="136" t="str">
        <f t="shared" si="1"/>
        <v>●</v>
      </c>
      <c r="E117" s="137" t="str">
        <f>TT_TR("X", "", "")</f>
        <v>●</v>
      </c>
      <c r="F117" s="198" t="s">
        <v>2992</v>
      </c>
      <c r="G117" s="137" t="str">
        <f t="shared" si="2"/>
        <v>●</v>
      </c>
      <c r="H117" s="198" t="s">
        <v>2704</v>
      </c>
      <c r="I117" s="124"/>
    </row>
    <row r="118" spans="3:9" ht="18">
      <c r="C118" s="183" t="str">
        <f>TT_CASE("Drivelock Password With S3/S4 After Cold Boot", -1, 1, "", "")</f>
        <v xml:space="preserve"> Drivelock Password With S3/S4 After Cold Boot</v>
      </c>
      <c r="D118" s="136" t="str">
        <f t="shared" si="1"/>
        <v>●</v>
      </c>
      <c r="E118" s="141" t="str">
        <f>TT_TR("X", "", "")</f>
        <v>●</v>
      </c>
      <c r="F118" s="191" t="s">
        <v>2992</v>
      </c>
      <c r="G118" s="141" t="str">
        <f t="shared" si="2"/>
        <v>●</v>
      </c>
      <c r="H118" s="191" t="s">
        <v>2704</v>
      </c>
      <c r="I118" s="294"/>
    </row>
    <row r="119" spans="3:9" ht="18">
      <c r="C119" s="183" t="str">
        <f>TT_CASE("Drivelock Password With S3/S4 After Warm Boot", -1, 1, "", "")</f>
        <v xml:space="preserve"> Drivelock Password With S3/S4 After Warm Boot</v>
      </c>
      <c r="D119" s="136" t="str">
        <f t="shared" si="1"/>
        <v>●</v>
      </c>
      <c r="E119" s="141" t="str">
        <f>TT_TR("X", "", "")</f>
        <v>●</v>
      </c>
      <c r="F119" s="191" t="s">
        <v>2992</v>
      </c>
      <c r="G119" s="141" t="str">
        <f t="shared" si="2"/>
        <v>●</v>
      </c>
      <c r="H119" s="191" t="s">
        <v>2704</v>
      </c>
      <c r="I119" s="294"/>
    </row>
    <row r="120" spans="3:9" ht="18">
      <c r="C120" s="183" t="str">
        <f>TT_CASE("Automatic Drivelock Password With S3/S4 After Cold Boot", -1, 1, "", "")</f>
        <v xml:space="preserve"> Automatic Drivelock Password With S3/S4 After Cold Boot</v>
      </c>
      <c r="D120" s="136" t="str">
        <f t="shared" si="1"/>
        <v>●</v>
      </c>
      <c r="E120" s="141" t="str">
        <f>TT_TR("X", "", "")</f>
        <v>●</v>
      </c>
      <c r="F120" s="191" t="s">
        <v>2992</v>
      </c>
      <c r="G120" s="141" t="str">
        <f t="shared" si="2"/>
        <v>●</v>
      </c>
      <c r="H120" s="191" t="s">
        <v>2704</v>
      </c>
      <c r="I120" s="294"/>
    </row>
    <row r="121" spans="3:9" ht="18">
      <c r="C121" s="183" t="str">
        <f>TT_CASE("Automatic Drivelock Password With S3/S4 After Warmboot", -1, 1, "", "")</f>
        <v xml:space="preserve"> Automatic Drivelock Password With S3/S4 After Warmboot</v>
      </c>
      <c r="D121" s="136" t="str">
        <f t="shared" si="1"/>
        <v>●</v>
      </c>
      <c r="E121" s="141" t="str">
        <f>TT_TR("X", "", "")</f>
        <v>●</v>
      </c>
      <c r="F121" s="191" t="s">
        <v>2992</v>
      </c>
      <c r="G121" s="141" t="str">
        <f t="shared" si="2"/>
        <v>●</v>
      </c>
      <c r="H121" s="191" t="s">
        <v>2704</v>
      </c>
      <c r="I121" s="294"/>
    </row>
    <row r="122" spans="3:9" ht="18">
      <c r="C122" s="180" t="str">
        <f>TT_CASE("Save/Restore Master Boot Record (Mbr)", -1, 1)</f>
        <v xml:space="preserve"> Save/Restore Master Boot Record (Mbr)</v>
      </c>
      <c r="D122" s="136" t="str">
        <f t="shared" si="1"/>
        <v>●</v>
      </c>
      <c r="E122" s="141" t="str">
        <f>TT_TR("X", "", "")</f>
        <v>●</v>
      </c>
      <c r="F122" s="191" t="s">
        <v>2992</v>
      </c>
      <c r="G122" s="141" t="str">
        <f t="shared" si="2"/>
        <v>●</v>
      </c>
      <c r="H122" s="191" t="s">
        <v>2704</v>
      </c>
      <c r="I122" s="294"/>
    </row>
    <row r="123" spans="3:9" ht="18">
      <c r="C123" s="183" t="str">
        <f>TT_CASE("TCG Bios Interface Test", -1, 1)</f>
        <v xml:space="preserve"> TCG Bios Interface Test</v>
      </c>
      <c r="D123" s="136" t="str">
        <f t="shared" si="1"/>
        <v>●</v>
      </c>
      <c r="E123" s="141" t="str">
        <f>TT_TR("X", "", "")</f>
        <v>●</v>
      </c>
      <c r="F123" s="191" t="s">
        <v>2992</v>
      </c>
      <c r="G123" s="141" t="str">
        <f t="shared" si="2"/>
        <v>●</v>
      </c>
      <c r="H123" s="191" t="s">
        <v>2704</v>
      </c>
      <c r="I123" s="294"/>
    </row>
    <row r="124" spans="3:9" s="186" customFormat="1" ht="15">
      <c r="C124" s="180" t="str">
        <f>TT_CASE("Computrace", -1, 3)</f>
        <v xml:space="preserve"> Computrace</v>
      </c>
      <c r="D124" s="136" t="str">
        <f>TT_CYCLE(-1)</f>
        <v>●</v>
      </c>
      <c r="E124" s="141" t="str">
        <f>TT_TR("X", "", "")</f>
        <v>●</v>
      </c>
      <c r="F124" s="244" t="s">
        <v>2992</v>
      </c>
      <c r="G124" s="141" t="str">
        <f t="shared" si="2"/>
        <v>●</v>
      </c>
      <c r="H124" s="244" t="s">
        <v>2704</v>
      </c>
      <c r="I124" s="185"/>
    </row>
    <row r="125" spans="3:9" s="186" customFormat="1">
      <c r="C125" s="265" t="str">
        <f>TT_CASE("BIOS F10 setting for HP Hypervisor Secure Boot", -1, 3)</f>
        <v xml:space="preserve"> BIOS F10 setting for HP Hypervisor Secure Boot</v>
      </c>
      <c r="D125" s="136" t="str">
        <f>TT_CYCLE(-1)</f>
        <v>●</v>
      </c>
      <c r="E125" s="141" t="str">
        <f>TT_TR("X", "", "")</f>
        <v>●</v>
      </c>
      <c r="F125" s="244" t="s">
        <v>2992</v>
      </c>
      <c r="G125" s="141" t="str">
        <f t="shared" si="2"/>
        <v>●</v>
      </c>
      <c r="H125" s="244" t="s">
        <v>2704</v>
      </c>
      <c r="I125" s="185"/>
    </row>
    <row r="126" spans="3:9" s="186" customFormat="1">
      <c r="C126" s="265" t="str">
        <f>TT_CASE("HP Hypervisor Secure Boot feature using BCU", -1, 3)</f>
        <v xml:space="preserve"> HP Hypervisor Secure Boot feature using BCU</v>
      </c>
      <c r="D126" s="136" t="str">
        <f>TT_CYCLE(-1)</f>
        <v>●</v>
      </c>
      <c r="E126" s="141" t="str">
        <f>TT_TR("X", "", "")</f>
        <v>●</v>
      </c>
      <c r="F126" s="244" t="s">
        <v>2992</v>
      </c>
      <c r="G126" s="141" t="str">
        <f t="shared" si="2"/>
        <v>●</v>
      </c>
      <c r="H126" s="244" t="s">
        <v>2704</v>
      </c>
      <c r="I126" s="185"/>
    </row>
    <row r="127" spans="3:9" ht="36">
      <c r="C127" s="188" t="str">
        <f>TT_SUITE("PCCS Requirements and Manufacturing Mode (Factory Control Mode)", -1, 1)</f>
        <v>▼ PCCS Requirements and Manufacturing Mode (Factory Control Mode)</v>
      </c>
      <c r="D127" s="189" t="str">
        <f>TT_ROLLUP(-1, D127, D127)</f>
        <v/>
      </c>
      <c r="E127" s="190" t="str">
        <f>TT_ROLLUP(-1, E127, E127)</f>
        <v/>
      </c>
      <c r="F127" s="191"/>
      <c r="G127" s="190" t="str">
        <f>TT_ROLLUP(-1, G127, G127)</f>
        <v/>
      </c>
      <c r="H127" s="191"/>
      <c r="I127" s="294"/>
    </row>
    <row r="128" spans="3:9" ht="18">
      <c r="C128" s="297" t="s">
        <v>153</v>
      </c>
      <c r="D128" s="296" t="str">
        <f>TT_LOCK(5)</f>
        <v/>
      </c>
      <c r="E128" s="296" t="s">
        <v>2483</v>
      </c>
      <c r="F128" s="191"/>
      <c r="G128" s="296" t="s">
        <v>2483</v>
      </c>
      <c r="H128" s="191"/>
      <c r="I128" s="294"/>
    </row>
    <row r="129" spans="3:9" ht="18">
      <c r="C129" s="297" t="s">
        <v>2484</v>
      </c>
      <c r="D129" s="297" t="str">
        <f>TT_LOCK(5)</f>
        <v/>
      </c>
      <c r="E129" s="296"/>
      <c r="F129" s="191"/>
      <c r="G129" s="296"/>
      <c r="H129" s="191"/>
      <c r="I129" s="294"/>
    </row>
    <row r="130" spans="3:9" ht="18">
      <c r="C130" s="297" t="s">
        <v>2485</v>
      </c>
      <c r="D130" s="297" t="str">
        <f>TT_LOCK(5)</f>
        <v/>
      </c>
      <c r="E130" s="296"/>
      <c r="F130" s="191"/>
      <c r="G130" s="296"/>
      <c r="H130" s="191"/>
      <c r="I130" s="294"/>
    </row>
    <row r="131" spans="3:9" ht="15">
      <c r="C131" s="297" t="s">
        <v>2486</v>
      </c>
      <c r="D131" s="297" t="str">
        <f>TT_LOCK(5)</f>
        <v/>
      </c>
      <c r="E131" s="297"/>
      <c r="F131" s="293"/>
      <c r="G131" s="297"/>
      <c r="H131" s="293"/>
      <c r="I131" s="294"/>
    </row>
    <row r="132" spans="3:9" ht="18">
      <c r="C132" s="297" t="s">
        <v>2487</v>
      </c>
      <c r="D132" s="297" t="str">
        <f>TT_LOCK(5)</f>
        <v/>
      </c>
      <c r="E132" s="296"/>
      <c r="F132" s="191"/>
      <c r="G132" s="296"/>
      <c r="H132" s="191"/>
      <c r="I132" s="294"/>
    </row>
    <row r="133" spans="3:9" ht="18">
      <c r="C133" s="297" t="str">
        <f>TT_CFG("Environment")</f>
        <v>Environment</v>
      </c>
      <c r="D133" s="296" t="s">
        <v>661</v>
      </c>
      <c r="E133" s="339"/>
      <c r="F133" s="340"/>
      <c r="G133" s="339"/>
      <c r="H133" s="340"/>
      <c r="I133" s="294"/>
    </row>
    <row r="134" spans="3:9" s="120" customFormat="1" ht="18">
      <c r="C134" s="135" t="str">
        <f>TT_CASE("Factory Control Mode: Enable/Disable methods (Int 15, HP WMI and UEMI)", -1, 1)</f>
        <v xml:space="preserve"> Factory Control Mode: Enable/Disable methods (Int 15, HP WMI and UEMI)</v>
      </c>
      <c r="D134" s="136" t="str">
        <f>TT_CYCLE(-1)</f>
        <v>●</v>
      </c>
      <c r="E134" s="137" t="str">
        <f>TT_TR("X", "", "")</f>
        <v>●</v>
      </c>
      <c r="F134" s="198" t="s">
        <v>2992</v>
      </c>
      <c r="G134" s="137" t="str">
        <f>TT_TR("X", "", "")</f>
        <v>●</v>
      </c>
      <c r="H134" s="198" t="s">
        <v>2732</v>
      </c>
      <c r="I134" s="124"/>
    </row>
    <row r="135" spans="3:9" ht="18">
      <c r="C135" s="265" t="str">
        <f>TT_CASE("PCCS: PCID support", -1, 1)</f>
        <v xml:space="preserve"> PCCS: PCID support</v>
      </c>
      <c r="D135" s="136" t="str">
        <f>TT_CYCLE(-1)</f>
        <v>●</v>
      </c>
      <c r="E135" s="141" t="str">
        <f>TT_TR("X", "", "")</f>
        <v>●</v>
      </c>
      <c r="F135" s="191" t="s">
        <v>2992</v>
      </c>
      <c r="G135" s="141" t="str">
        <f>TT_TR("X", "", "")</f>
        <v>●</v>
      </c>
      <c r="H135" s="191" t="s">
        <v>2732</v>
      </c>
      <c r="I135" s="294"/>
    </row>
    <row r="136" spans="3:9" ht="18">
      <c r="C136" s="180" t="str">
        <f>TT_CASE("PCCS: Manufacturing Program Mode (MPM)", -1, 1)</f>
        <v xml:space="preserve"> PCCS: Manufacturing Program Mode (MPM)</v>
      </c>
      <c r="D136" s="136" t="str">
        <f>TT_CYCLE(-1)</f>
        <v>●</v>
      </c>
      <c r="E136" s="141" t="str">
        <f>TT_TR("X", "", "")</f>
        <v>●</v>
      </c>
      <c r="F136" s="191" t="s">
        <v>2992</v>
      </c>
      <c r="G136" s="141" t="str">
        <f>TT_TR("X", "", "")</f>
        <v>●</v>
      </c>
      <c r="H136" s="191" t="s">
        <v>2732</v>
      </c>
      <c r="I136" s="294"/>
    </row>
    <row r="137" spans="3:9" ht="18">
      <c r="C137" s="180" t="str">
        <f>TT_CASE("BiosConfigUtility functional Test", -1, 1)</f>
        <v xml:space="preserve"> BiosConfigUtility functional Test</v>
      </c>
      <c r="D137" s="136" t="str">
        <f>TT_CYCLE(-1)</f>
        <v>●</v>
      </c>
      <c r="E137" s="187" t="str">
        <f>TT_TR("X", "", "")</f>
        <v>●</v>
      </c>
      <c r="F137" s="191" t="s">
        <v>2992</v>
      </c>
      <c r="G137" s="187" t="str">
        <f>TT_TR("X", "", "")</f>
        <v>●</v>
      </c>
      <c r="H137" s="191" t="s">
        <v>2732</v>
      </c>
      <c r="I137" s="294"/>
    </row>
    <row r="138" spans="3:9" ht="18">
      <c r="C138" s="188" t="str">
        <f>TT_SUITE("Core Bios Features / Enhancements", -1, 1)</f>
        <v>▼ Core Bios Features / Enhancements</v>
      </c>
      <c r="D138" s="189" t="str">
        <f>TT_ROLLUP(-1, D138, D138)</f>
        <v/>
      </c>
      <c r="E138" s="190" t="str">
        <f>TT_ROLLUP(-1, E138, E138)</f>
        <v/>
      </c>
      <c r="F138" s="191"/>
      <c r="G138" s="190" t="str">
        <f>TT_ROLLUP(-1, G138, G138)</f>
        <v/>
      </c>
      <c r="H138" s="191"/>
      <c r="I138" s="294"/>
    </row>
    <row r="139" spans="3:9" ht="18">
      <c r="C139" s="297" t="s">
        <v>153</v>
      </c>
      <c r="D139" s="296" t="str">
        <f>TT_LOCK(5)</f>
        <v/>
      </c>
      <c r="E139" s="296" t="s">
        <v>2483</v>
      </c>
      <c r="F139" s="191"/>
      <c r="G139" s="296" t="s">
        <v>2483</v>
      </c>
      <c r="H139" s="191"/>
      <c r="I139" s="294"/>
    </row>
    <row r="140" spans="3:9" ht="18">
      <c r="C140" s="297" t="s">
        <v>2484</v>
      </c>
      <c r="D140" s="297" t="str">
        <f>TT_LOCK(5)</f>
        <v/>
      </c>
      <c r="E140" s="296"/>
      <c r="F140" s="191"/>
      <c r="G140" s="296"/>
      <c r="H140" s="191"/>
      <c r="I140" s="294"/>
    </row>
    <row r="141" spans="3:9" ht="18">
      <c r="C141" s="297" t="s">
        <v>2485</v>
      </c>
      <c r="D141" s="297" t="str">
        <f>TT_LOCK(5)</f>
        <v/>
      </c>
      <c r="E141" s="296"/>
      <c r="F141" s="191"/>
      <c r="G141" s="296"/>
      <c r="H141" s="191"/>
      <c r="I141" s="294"/>
    </row>
    <row r="142" spans="3:9" ht="15">
      <c r="C142" s="297" t="s">
        <v>2486</v>
      </c>
      <c r="D142" s="297" t="str">
        <f>TT_LOCK(5)</f>
        <v/>
      </c>
      <c r="E142" s="297"/>
      <c r="F142" s="293"/>
      <c r="G142" s="297"/>
      <c r="H142" s="293"/>
      <c r="I142" s="294"/>
    </row>
    <row r="143" spans="3:9" ht="18">
      <c r="C143" s="297" t="s">
        <v>2487</v>
      </c>
      <c r="D143" s="297" t="str">
        <f>TT_LOCK(5)</f>
        <v/>
      </c>
      <c r="E143" s="296"/>
      <c r="F143" s="191"/>
      <c r="G143" s="296"/>
      <c r="H143" s="191"/>
      <c r="I143" s="294"/>
    </row>
    <row r="144" spans="3:9" ht="15.75" customHeight="1">
      <c r="C144" s="297" t="str">
        <f>TT_CFG("Environment")</f>
        <v>Environment</v>
      </c>
      <c r="D144" s="296" t="s">
        <v>661</v>
      </c>
      <c r="E144" s="339"/>
      <c r="F144" s="340"/>
      <c r="G144" s="339" t="s">
        <v>2973</v>
      </c>
      <c r="H144" s="340"/>
      <c r="I144" s="294"/>
    </row>
    <row r="145" spans="3:9" ht="18">
      <c r="C145" s="196" t="str">
        <f>TT_CASE("Win 8 - Secure Boot", -1, 1)</f>
        <v xml:space="preserve"> Win 8 - Secure Boot</v>
      </c>
      <c r="D145" s="136" t="str">
        <f t="shared" ref="D145:D178" si="3">TT_CYCLE(-1)</f>
        <v>●</v>
      </c>
      <c r="E145" s="141" t="str">
        <f>TT_TR("X", "", "")</f>
        <v>●</v>
      </c>
      <c r="F145" s="191" t="s">
        <v>2992</v>
      </c>
      <c r="G145" s="141" t="str">
        <f t="shared" ref="E145:G178" si="4">TT_TR("X", "", "")</f>
        <v>●</v>
      </c>
      <c r="H145" s="191" t="s">
        <v>2705</v>
      </c>
      <c r="I145" s="294"/>
    </row>
    <row r="146" spans="3:9" ht="18">
      <c r="C146" s="196" t="str">
        <f>TT_CASE("Win 8 - Seamless Boot", -1, 1)</f>
        <v xml:space="preserve"> Win 8 - Seamless Boot</v>
      </c>
      <c r="D146" s="136" t="str">
        <f t="shared" si="3"/>
        <v>●</v>
      </c>
      <c r="E146" s="141" t="str">
        <f>TT_TR("X", "", "")</f>
        <v>●</v>
      </c>
      <c r="F146" s="191" t="s">
        <v>2992</v>
      </c>
      <c r="G146" s="141" t="str">
        <f t="shared" si="4"/>
        <v>●</v>
      </c>
      <c r="H146" s="191" t="s">
        <v>2705</v>
      </c>
      <c r="I146" s="294"/>
    </row>
    <row r="147" spans="3:9" ht="18">
      <c r="C147" s="196" t="str">
        <f>TT_CASE("Win 8 - Measured Boot - BitLocker", -1, 1)</f>
        <v xml:space="preserve"> Win 8 - Measured Boot - BitLocker</v>
      </c>
      <c r="D147" s="136" t="str">
        <f t="shared" si="3"/>
        <v>●</v>
      </c>
      <c r="E147" s="141" t="str">
        <f>TT_TR("X", "", "")</f>
        <v>●</v>
      </c>
      <c r="F147" s="191" t="s">
        <v>2992</v>
      </c>
      <c r="G147" s="141" t="str">
        <f t="shared" si="4"/>
        <v>●</v>
      </c>
      <c r="H147" s="191" t="s">
        <v>2705</v>
      </c>
      <c r="I147" s="294"/>
    </row>
    <row r="148" spans="3:9" ht="18">
      <c r="C148" s="196" t="str">
        <f>TT_CASE("Win8 - Measured Boot - TPM PPI 1.2 (Physical Presence Interface) (WinPVT) for Win8", -1, 1)</f>
        <v xml:space="preserve"> Win8 - Measured Boot - TPM PPI 1.2 (Physical Presence Interface) (WinPVT) for Win8</v>
      </c>
      <c r="D148" s="136" t="str">
        <f t="shared" si="3"/>
        <v>●</v>
      </c>
      <c r="E148" s="141" t="str">
        <f>TT_TR("X", "", "")</f>
        <v>●</v>
      </c>
      <c r="F148" s="191" t="s">
        <v>2992</v>
      </c>
      <c r="G148" s="141" t="str">
        <f t="shared" si="4"/>
        <v>●</v>
      </c>
      <c r="H148" s="191" t="s">
        <v>2705</v>
      </c>
      <c r="I148" s="294"/>
    </row>
    <row r="149" spans="3:9" ht="18">
      <c r="C149" s="196" t="str">
        <f>TT_CASE("Win8 - Measured Boot - Memory Clearing (only on 64 bit)", -1, 1)</f>
        <v xml:space="preserve"> Win8 - Measured Boot - Memory Clearing (only on 64 bit)</v>
      </c>
      <c r="D149" s="136" t="str">
        <f t="shared" si="3"/>
        <v>●</v>
      </c>
      <c r="E149" s="141" t="str">
        <f>TT_TR("X", "", "")</f>
        <v>●</v>
      </c>
      <c r="F149" s="191" t="s">
        <v>2992</v>
      </c>
      <c r="G149" s="141" t="str">
        <f t="shared" si="4"/>
        <v>●</v>
      </c>
      <c r="H149" s="191" t="s">
        <v>2705</v>
      </c>
      <c r="I149" s="294"/>
    </row>
    <row r="150" spans="3:9" ht="18">
      <c r="C150" s="196" t="str">
        <f>TT_CASE("Win 8 - Edrive", -1, 1)</f>
        <v xml:space="preserve"> Win 8 - Edrive</v>
      </c>
      <c r="D150" s="136" t="str">
        <f t="shared" si="3"/>
        <v>●</v>
      </c>
      <c r="E150" s="141" t="str">
        <f>TT_TR("X", "", "")</f>
        <v>●</v>
      </c>
      <c r="F150" s="191" t="s">
        <v>2992</v>
      </c>
      <c r="G150" s="141" t="str">
        <f t="shared" si="4"/>
        <v>●</v>
      </c>
      <c r="H150" s="191" t="s">
        <v>2705</v>
      </c>
      <c r="I150" s="294"/>
    </row>
    <row r="151" spans="3:9" ht="18">
      <c r="C151" s="196" t="str">
        <f>TT_CASE("Win 8 - Windows 8 to GO", -1, 1)</f>
        <v xml:space="preserve"> Win 8 - Windows 8 to GO</v>
      </c>
      <c r="D151" s="136" t="str">
        <f t="shared" si="3"/>
        <v>●</v>
      </c>
      <c r="E151" s="141" t="str">
        <f>TT_TR("X", "", "")</f>
        <v>●</v>
      </c>
      <c r="F151" s="191" t="s">
        <v>2992</v>
      </c>
      <c r="G151" s="141" t="str">
        <f t="shared" si="4"/>
        <v>●</v>
      </c>
      <c r="H151" s="191" t="s">
        <v>2705</v>
      </c>
      <c r="I151" s="294"/>
    </row>
    <row r="152" spans="3:9" ht="18">
      <c r="C152" s="196" t="str">
        <f>TT_CASE("Win 8 GPT Recovery  - F11 Recovery ", -1, 1)</f>
        <v xml:space="preserve"> Win 8 GPT Recovery  - F11 Recovery</v>
      </c>
      <c r="D152" s="136" t="str">
        <f t="shared" si="3"/>
        <v>●</v>
      </c>
      <c r="E152" s="141" t="str">
        <f>TT_TR("X", "", "")</f>
        <v>●</v>
      </c>
      <c r="F152" s="191" t="s">
        <v>2992</v>
      </c>
      <c r="G152" s="141" t="str">
        <f t="shared" si="4"/>
        <v>●</v>
      </c>
      <c r="H152" s="191" t="s">
        <v>2705</v>
      </c>
      <c r="I152" s="294"/>
    </row>
    <row r="153" spans="3:9" ht="18">
      <c r="C153" s="196" t="str">
        <f>TT_CASE("Win 8 - Boot Time using Registry", -1, 1)</f>
        <v xml:space="preserve"> Win 8 - Boot Time using Registry</v>
      </c>
      <c r="D153" s="136" t="str">
        <f t="shared" si="3"/>
        <v>●</v>
      </c>
      <c r="E153" s="141" t="str">
        <f>TT_TR("X", "", "")</f>
        <v>●</v>
      </c>
      <c r="F153" s="191" t="s">
        <v>2992</v>
      </c>
      <c r="G153" s="141" t="str">
        <f t="shared" si="4"/>
        <v>●</v>
      </c>
      <c r="H153" s="191" t="s">
        <v>2705</v>
      </c>
      <c r="I153" s="294"/>
    </row>
    <row r="154" spans="3:9" s="229" customFormat="1" ht="18">
      <c r="C154" s="196" t="str">
        <f>TT_CASE("Win 8 - ADK Boot Time ", -1, 1)</f>
        <v xml:space="preserve"> Win 8 - ADK Boot Time</v>
      </c>
      <c r="D154" s="136" t="str">
        <f t="shared" si="3"/>
        <v>●</v>
      </c>
      <c r="E154" s="141" t="str">
        <f>TT_TR("X", "", "")</f>
        <v>●</v>
      </c>
      <c r="F154" s="227" t="s">
        <v>2992</v>
      </c>
      <c r="G154" s="141" t="str">
        <f t="shared" si="4"/>
        <v>●</v>
      </c>
      <c r="H154" s="227" t="s">
        <v>2705</v>
      </c>
      <c r="I154" s="228"/>
    </row>
    <row r="155" spans="3:9" s="229" customFormat="1" ht="18">
      <c r="C155" s="196" t="str">
        <f>TT_CASE("Win 8 - HW Configuration change using FACS table HW signature", -1, 1)</f>
        <v xml:space="preserve"> Win 8 - HW Configuration change using FACS table HW signature</v>
      </c>
      <c r="D155" s="136" t="str">
        <f t="shared" si="3"/>
        <v>●</v>
      </c>
      <c r="E155" s="141" t="str">
        <f>TT_TR("X", "", "")</f>
        <v>●</v>
      </c>
      <c r="F155" s="227" t="s">
        <v>2992</v>
      </c>
      <c r="G155" s="141" t="str">
        <f t="shared" si="4"/>
        <v>●</v>
      </c>
      <c r="H155" s="227" t="s">
        <v>2706</v>
      </c>
      <c r="I155" s="228"/>
    </row>
    <row r="156" spans="3:9" s="229" customFormat="1" ht="18">
      <c r="C156" s="196" t="str">
        <f>TT_CASE("Win 8 - UMDF Security Metro", -1, 1)</f>
        <v xml:space="preserve"> Win 8 - UMDF Security Metro</v>
      </c>
      <c r="D156" s="136" t="str">
        <f t="shared" si="3"/>
        <v>●</v>
      </c>
      <c r="E156" s="141" t="str">
        <f>TT_TR("X", "", "")</f>
        <v>●</v>
      </c>
      <c r="F156" s="227" t="s">
        <v>2992</v>
      </c>
      <c r="G156" s="141" t="str">
        <f t="shared" si="4"/>
        <v>●</v>
      </c>
      <c r="H156" s="227" t="s">
        <v>2706</v>
      </c>
      <c r="I156" s="228"/>
    </row>
    <row r="157" spans="3:9" s="229" customFormat="1" ht="18">
      <c r="C157" s="196" t="str">
        <f>TT_CASE("Win 8 - MS Digital Marker Support", -1, 1)</f>
        <v xml:space="preserve"> Win 8 - MS Digital Marker Support</v>
      </c>
      <c r="D157" s="136" t="str">
        <f t="shared" si="3"/>
        <v>●</v>
      </c>
      <c r="E157" s="141" t="str">
        <f>TT_TR("X", "", "")</f>
        <v>●</v>
      </c>
      <c r="F157" s="227" t="s">
        <v>2992</v>
      </c>
      <c r="G157" s="141" t="str">
        <f t="shared" si="4"/>
        <v>●</v>
      </c>
      <c r="H157" s="227" t="s">
        <v>2706</v>
      </c>
      <c r="I157" s="228"/>
    </row>
    <row r="158" spans="3:9" ht="18">
      <c r="C158" s="230" t="str">
        <f>TT_CASE("Win 8 - Boot To Firmware", -1, 1)</f>
        <v xml:space="preserve"> Win 8 - Boot To Firmware</v>
      </c>
      <c r="D158" s="136" t="str">
        <f t="shared" si="3"/>
        <v>●</v>
      </c>
      <c r="E158" s="141" t="str">
        <f>TT_TR("X", "", "")</f>
        <v>●</v>
      </c>
      <c r="F158" s="191" t="s">
        <v>2992</v>
      </c>
      <c r="G158" s="141" t="str">
        <f t="shared" si="4"/>
        <v>●</v>
      </c>
      <c r="H158" s="191" t="s">
        <v>2706</v>
      </c>
      <c r="I158" s="294"/>
    </row>
    <row r="159" spans="3:9" s="229" customFormat="1" ht="18">
      <c r="C159" s="231" t="str">
        <f>TT_CASE("Win 8 - Win RE ", -1, 1)</f>
        <v xml:space="preserve"> Win 8 - Win RE</v>
      </c>
      <c r="D159" s="136" t="str">
        <f t="shared" si="3"/>
        <v>●</v>
      </c>
      <c r="E159" s="141" t="str">
        <f>TT_TR("X", "", "")</f>
        <v>●</v>
      </c>
      <c r="F159" s="227" t="s">
        <v>2992</v>
      </c>
      <c r="G159" s="141" t="str">
        <f t="shared" si="4"/>
        <v>●</v>
      </c>
      <c r="H159" s="227" t="s">
        <v>2706</v>
      </c>
      <c r="I159" s="228"/>
    </row>
    <row r="160" spans="3:9" ht="18">
      <c r="C160" s="196" t="str">
        <f>TT_CASE("Win8.1 - Measured Boot - TPM PPI 1.2 (Physical Presence Interface) (WinPVT) for Win8", -1, 1)</f>
        <v xml:space="preserve"> Win8.1 - Measured Boot - TPM PPI 1.2 (Physical Presence Interface) (WinPVT) for Win8</v>
      </c>
      <c r="D160" s="136" t="str">
        <f t="shared" si="3"/>
        <v>●</v>
      </c>
      <c r="E160" s="141" t="str">
        <f>TT_TR("X", "", "")</f>
        <v>●</v>
      </c>
      <c r="F160" s="191" t="s">
        <v>2992</v>
      </c>
      <c r="G160" s="141" t="str">
        <f t="shared" si="4"/>
        <v>●</v>
      </c>
      <c r="H160" s="191" t="s">
        <v>2705</v>
      </c>
      <c r="I160" s="294"/>
    </row>
    <row r="161" spans="3:9" ht="18">
      <c r="C161" s="196" t="str">
        <f>TT_CASE("Win8.1 - Measured Boot - Memory Clearing (only on 64 bit)", -1, 1)</f>
        <v xml:space="preserve"> Win8.1 - Measured Boot - Memory Clearing (only on 64 bit)</v>
      </c>
      <c r="D161" s="136" t="str">
        <f t="shared" si="3"/>
        <v>●</v>
      </c>
      <c r="E161" s="141" t="str">
        <f>TT_TR("X", "", "")</f>
        <v>●</v>
      </c>
      <c r="F161" s="191" t="s">
        <v>2992</v>
      </c>
      <c r="G161" s="141" t="str">
        <f t="shared" si="4"/>
        <v>●</v>
      </c>
      <c r="H161" s="191" t="s">
        <v>2705</v>
      </c>
      <c r="I161" s="294"/>
    </row>
    <row r="162" spans="3:9" ht="18">
      <c r="C162" s="196" t="str">
        <f>TT_CASE("Win 8.1 - Edrive", -1, 1)</f>
        <v xml:space="preserve"> Win 8.1 - Edrive</v>
      </c>
      <c r="D162" s="136" t="str">
        <f t="shared" si="3"/>
        <v>●</v>
      </c>
      <c r="E162" s="141" t="str">
        <f>TT_TR("X", "", "")</f>
        <v>●</v>
      </c>
      <c r="F162" s="191" t="s">
        <v>2992</v>
      </c>
      <c r="G162" s="141" t="str">
        <f t="shared" si="4"/>
        <v>●</v>
      </c>
      <c r="H162" s="191" t="s">
        <v>2705</v>
      </c>
      <c r="I162" s="294"/>
    </row>
    <row r="163" spans="3:9" ht="18">
      <c r="C163" s="196" t="str">
        <f>TT_CASE("Win 8.1 - Windows 8 to GO", -1, 1)</f>
        <v xml:space="preserve"> Win 8.1 - Windows 8 to GO</v>
      </c>
      <c r="D163" s="136" t="str">
        <f t="shared" si="3"/>
        <v>●</v>
      </c>
      <c r="E163" s="141" t="str">
        <f>TT_TR("X", "", "")</f>
        <v>●</v>
      </c>
      <c r="F163" s="191" t="s">
        <v>2992</v>
      </c>
      <c r="G163" s="141" t="str">
        <f t="shared" si="4"/>
        <v>●</v>
      </c>
      <c r="H163" s="191" t="s">
        <v>2705</v>
      </c>
      <c r="I163" s="294"/>
    </row>
    <row r="164" spans="3:9" ht="18">
      <c r="C164" s="196" t="str">
        <f>TT_CASE("Win 8.1 GPT Recovery  - F11 Recovery ", -1, 1)</f>
        <v xml:space="preserve"> Win 8.1 GPT Recovery  - F11 Recovery</v>
      </c>
      <c r="D164" s="136" t="str">
        <f t="shared" si="3"/>
        <v>●</v>
      </c>
      <c r="E164" s="141" t="str">
        <f>TT_TR("X", "", "")</f>
        <v>●</v>
      </c>
      <c r="F164" s="191" t="s">
        <v>2992</v>
      </c>
      <c r="G164" s="141" t="str">
        <f t="shared" si="4"/>
        <v>●</v>
      </c>
      <c r="H164" s="191" t="s">
        <v>2705</v>
      </c>
      <c r="I164" s="294"/>
    </row>
    <row r="165" spans="3:9" ht="18">
      <c r="C165" s="196" t="str">
        <f>TT_CASE("Win 8.1 - Boot Time using Registry", -1, 1)</f>
        <v xml:space="preserve"> Win 8.1 - Boot Time using Registry</v>
      </c>
      <c r="D165" s="136" t="str">
        <f t="shared" si="3"/>
        <v>●</v>
      </c>
      <c r="E165" s="141" t="str">
        <f>TT_TR("X", "", "")</f>
        <v>●</v>
      </c>
      <c r="F165" s="191" t="s">
        <v>2992</v>
      </c>
      <c r="G165" s="141" t="str">
        <f t="shared" si="4"/>
        <v>●</v>
      </c>
      <c r="H165" s="191" t="s">
        <v>2705</v>
      </c>
      <c r="I165" s="294"/>
    </row>
    <row r="166" spans="3:9" s="229" customFormat="1" ht="18">
      <c r="C166" s="196" t="str">
        <f>TT_CASE("Win 8.1 - ADK Boot Time ", -1, 1)</f>
        <v xml:space="preserve"> Win 8.1 - ADK Boot Time</v>
      </c>
      <c r="D166" s="136" t="str">
        <f t="shared" si="3"/>
        <v>●</v>
      </c>
      <c r="E166" s="141" t="str">
        <f>TT_TR("X", "", "")</f>
        <v>●</v>
      </c>
      <c r="F166" s="227" t="s">
        <v>2992</v>
      </c>
      <c r="G166" s="141" t="str">
        <f t="shared" si="4"/>
        <v>●</v>
      </c>
      <c r="H166" s="227" t="s">
        <v>2705</v>
      </c>
      <c r="I166" s="228"/>
    </row>
    <row r="167" spans="3:9" s="229" customFormat="1" ht="18">
      <c r="C167" s="196" t="str">
        <f>TT_CASE("Win 8.1 - HW Configuration change using FACS table HW signature", -1, 1)</f>
        <v xml:space="preserve"> Win 8.1 - HW Configuration change using FACS table HW signature</v>
      </c>
      <c r="D167" s="136" t="str">
        <f t="shared" si="3"/>
        <v>●</v>
      </c>
      <c r="E167" s="141" t="str">
        <f>TT_TR("X", "", "")</f>
        <v>●</v>
      </c>
      <c r="F167" s="227" t="s">
        <v>2992</v>
      </c>
      <c r="G167" s="141" t="str">
        <f t="shared" si="4"/>
        <v>●</v>
      </c>
      <c r="H167" s="227" t="s">
        <v>2706</v>
      </c>
      <c r="I167" s="228"/>
    </row>
    <row r="168" spans="3:9" s="229" customFormat="1" ht="18">
      <c r="C168" s="196" t="str">
        <f>TT_CASE("Win 8.1 - UMDF Security Metro", -1, 1)</f>
        <v xml:space="preserve"> Win 8.1 - UMDF Security Metro</v>
      </c>
      <c r="D168" s="136" t="str">
        <f t="shared" si="3"/>
        <v>●</v>
      </c>
      <c r="E168" s="141" t="str">
        <f>TT_TR("X", "", "")</f>
        <v>●</v>
      </c>
      <c r="F168" s="227" t="s">
        <v>2992</v>
      </c>
      <c r="G168" s="141" t="str">
        <f t="shared" si="4"/>
        <v>●</v>
      </c>
      <c r="H168" s="227" t="s">
        <v>2706</v>
      </c>
      <c r="I168" s="228"/>
    </row>
    <row r="169" spans="3:9" s="229" customFormat="1" ht="18">
      <c r="C169" s="196" t="str">
        <f>TT_CASE("Win 8.1 - MS Digital Marker Support", -1, 1)</f>
        <v xml:space="preserve"> Win 8.1 - MS Digital Marker Support</v>
      </c>
      <c r="D169" s="136" t="str">
        <f t="shared" si="3"/>
        <v>●</v>
      </c>
      <c r="E169" s="141" t="str">
        <f>TT_TR("X", "", "")</f>
        <v>●</v>
      </c>
      <c r="F169" s="227" t="s">
        <v>2992</v>
      </c>
      <c r="G169" s="141" t="str">
        <f t="shared" si="4"/>
        <v>●</v>
      </c>
      <c r="H169" s="227" t="s">
        <v>2706</v>
      </c>
      <c r="I169" s="228"/>
    </row>
    <row r="170" spans="3:9" ht="18">
      <c r="C170" s="230" t="str">
        <f>TT_CASE("Win 8.1 - Boot To Firmware", -1, 1)</f>
        <v xml:space="preserve"> Win 8.1 - Boot To Firmware</v>
      </c>
      <c r="D170" s="136" t="str">
        <f t="shared" si="3"/>
        <v>●</v>
      </c>
      <c r="E170" s="141" t="str">
        <f>TT_TR("X", "", "")</f>
        <v>●</v>
      </c>
      <c r="F170" s="191" t="s">
        <v>2992</v>
      </c>
      <c r="G170" s="141" t="str">
        <f t="shared" si="4"/>
        <v>●</v>
      </c>
      <c r="H170" s="191" t="s">
        <v>2706</v>
      </c>
      <c r="I170" s="294"/>
    </row>
    <row r="171" spans="3:9" s="229" customFormat="1" ht="18">
      <c r="C171" s="231" t="str">
        <f>TT_CASE("Win 8.1 - Win RE ", -1, 1)</f>
        <v xml:space="preserve"> Win 8.1 - Win RE</v>
      </c>
      <c r="D171" s="136" t="str">
        <f t="shared" si="3"/>
        <v>●</v>
      </c>
      <c r="E171" s="141" t="str">
        <f>TT_TR("X", "", "")</f>
        <v>●</v>
      </c>
      <c r="F171" s="227" t="s">
        <v>2992</v>
      </c>
      <c r="G171" s="141" t="str">
        <f t="shared" si="4"/>
        <v>●</v>
      </c>
      <c r="H171" s="227" t="s">
        <v>2706</v>
      </c>
      <c r="I171" s="228"/>
    </row>
    <row r="172" spans="3:9" ht="18">
      <c r="C172" s="232" t="str">
        <f>TT_CASE("Hp Peak Shift", -1, 1)</f>
        <v xml:space="preserve"> Hp Peak Shift</v>
      </c>
      <c r="D172" s="136" t="str">
        <f t="shared" si="3"/>
        <v>●</v>
      </c>
      <c r="E172" s="141" t="str">
        <f>TT_TR("X", "", "")</f>
        <v>●</v>
      </c>
      <c r="F172" s="191" t="s">
        <v>2992</v>
      </c>
      <c r="G172" s="141" t="str">
        <f t="shared" si="4"/>
        <v>●</v>
      </c>
      <c r="H172" s="191" t="s">
        <v>2706</v>
      </c>
      <c r="I172" s="294"/>
    </row>
    <row r="173" spans="3:9" ht="18">
      <c r="C173" s="233" t="str">
        <f>TT_CASE("F10 - Power ON when AC is applied", -1, 1, "", "")</f>
        <v xml:space="preserve"> F10 - Power ON when AC is applied</v>
      </c>
      <c r="D173" s="136" t="str">
        <f t="shared" si="3"/>
        <v>●</v>
      </c>
      <c r="E173" s="141" t="str">
        <f>TT_TR("X", "", "")</f>
        <v>●</v>
      </c>
      <c r="F173" s="191" t="s">
        <v>2992</v>
      </c>
      <c r="G173" s="141" t="str">
        <f t="shared" si="4"/>
        <v>●</v>
      </c>
      <c r="H173" s="191" t="s">
        <v>2706</v>
      </c>
      <c r="I173" s="294"/>
    </row>
    <row r="174" spans="3:9" ht="18">
      <c r="C174" s="180" t="str">
        <f>TT_CASE("Enable Bit Locker on a UEFI Installation OS (TCG EFI Protocol Support)", -1, 1)</f>
        <v xml:space="preserve"> Enable Bit Locker on a UEFI Installation OS (TCG EFI Protocol Support)</v>
      </c>
      <c r="D174" s="136" t="str">
        <f t="shared" si="3"/>
        <v>●</v>
      </c>
      <c r="E174" s="141" t="str">
        <f>TT_TR("X", "", "")</f>
        <v>●</v>
      </c>
      <c r="F174" s="191" t="s">
        <v>2992</v>
      </c>
      <c r="G174" s="141" t="str">
        <f t="shared" si="4"/>
        <v>●</v>
      </c>
      <c r="H174" s="191" t="s">
        <v>2706</v>
      </c>
      <c r="I174" s="294"/>
    </row>
    <row r="175" spans="3:9" ht="18">
      <c r="C175" s="183" t="str">
        <f>TT_CASE("BIOS Power On", -1, 1, "", "")</f>
        <v xml:space="preserve"> BIOS Power On</v>
      </c>
      <c r="D175" s="276" t="str">
        <f t="shared" si="3"/>
        <v>P</v>
      </c>
      <c r="E175" s="362"/>
      <c r="F175" s="191"/>
      <c r="G175" s="280" t="str">
        <f>TT_TR("P", "", "")</f>
        <v>P</v>
      </c>
      <c r="H175" s="191" t="s">
        <v>2987</v>
      </c>
      <c r="I175" s="294"/>
    </row>
    <row r="176" spans="3:9" ht="18">
      <c r="C176" s="183" t="str">
        <f>TT_CASE("HP USB Charging Port", -1, 1, "", "")</f>
        <v xml:space="preserve"> HP USB Charging Port</v>
      </c>
      <c r="D176" s="276" t="str">
        <f t="shared" si="3"/>
        <v>P</v>
      </c>
      <c r="E176" s="362"/>
      <c r="F176" s="191"/>
      <c r="G176" s="280" t="str">
        <f>TT_TR("P", "", "")</f>
        <v>P</v>
      </c>
      <c r="H176" s="191" t="s">
        <v>2986</v>
      </c>
      <c r="I176" s="294"/>
    </row>
    <row r="177" spans="3:10" ht="18">
      <c r="C177" s="183" t="str">
        <f>TT_CASE("M-Sata bios validation", -1, 1, "", "")</f>
        <v xml:space="preserve"> M-Sata bios validation</v>
      </c>
      <c r="D177" s="278" t="str">
        <f t="shared" si="3"/>
        <v>NA</v>
      </c>
      <c r="E177" s="363"/>
      <c r="F177" s="191"/>
      <c r="G177" s="284" t="str">
        <f>TT_TR("NA", "", "Not support M-sata")</f>
        <v>NA</v>
      </c>
      <c r="H177" s="191" t="s">
        <v>2983</v>
      </c>
      <c r="I177" s="294"/>
    </row>
    <row r="178" spans="3:10" ht="18">
      <c r="C178" s="234" t="str">
        <f>TT_CASE("Intel Rapid Start Technology", -1, 1)</f>
        <v xml:space="preserve"> Intel Rapid Start Technology</v>
      </c>
      <c r="D178" s="136" t="str">
        <f t="shared" si="3"/>
        <v>●</v>
      </c>
      <c r="E178" s="141" t="str">
        <f>TT_TR("X", "", "")</f>
        <v>●</v>
      </c>
      <c r="F178" s="191" t="s">
        <v>2992</v>
      </c>
      <c r="G178" s="141" t="str">
        <f t="shared" si="4"/>
        <v>●</v>
      </c>
      <c r="H178" s="191" t="s">
        <v>2706</v>
      </c>
      <c r="I178" s="294"/>
    </row>
    <row r="179" spans="3:10" ht="18">
      <c r="C179" s="196" t="str">
        <f>TT_CASE("Hypervisor", -1, 1)</f>
        <v xml:space="preserve"> Hypervisor</v>
      </c>
      <c r="D179" s="278" t="str">
        <f t="shared" ref="D179:D186" si="5">TT_CYCLE(-1)</f>
        <v>NA</v>
      </c>
      <c r="E179" s="363"/>
      <c r="F179" s="191"/>
      <c r="G179" s="284" t="str">
        <f>TT_TR("NA", "", "Not support quick web")</f>
        <v>NA</v>
      </c>
      <c r="H179" s="191" t="s">
        <v>2985</v>
      </c>
      <c r="I179" s="294"/>
    </row>
    <row r="180" spans="3:10" s="139" customFormat="1" ht="15">
      <c r="C180" s="135" t="str">
        <f>TT_CASE("MS Digitial Marker - Oa3.0", -1, 3)</f>
        <v xml:space="preserve"> MS Digitial Marker - Oa3.0</v>
      </c>
      <c r="D180" s="136" t="str">
        <f t="shared" si="5"/>
        <v>●</v>
      </c>
      <c r="E180" s="137" t="str">
        <f>TT_TR("X", "", "")</f>
        <v>●</v>
      </c>
      <c r="F180" s="138" t="s">
        <v>2992</v>
      </c>
      <c r="G180" s="277" t="str">
        <f>TT_TR("P", "", "")</f>
        <v>P</v>
      </c>
      <c r="H180" s="138" t="s">
        <v>2984</v>
      </c>
      <c r="I180" s="247"/>
    </row>
    <row r="181" spans="3:10" s="139" customFormat="1" ht="17.25" customHeight="1">
      <c r="C181" s="270" t="str">
        <f>TT_CASE("Updating Sensor Hub firmware.  (Only for the supported platforms)", -1, 3)</f>
        <v xml:space="preserve"> Updating Sensor Hub firmware.  (Only for the supported platforms)</v>
      </c>
      <c r="D181" s="136" t="str">
        <f t="shared" si="5"/>
        <v>●</v>
      </c>
      <c r="E181" s="137" t="str">
        <f>TT_TR("X", "", "")</f>
        <v>●</v>
      </c>
      <c r="F181" s="138" t="s">
        <v>2992</v>
      </c>
      <c r="G181" s="277" t="str">
        <f>TT_TR("P", "", "")</f>
        <v>P</v>
      </c>
      <c r="H181" s="138" t="s">
        <v>2982</v>
      </c>
      <c r="I181" s="247"/>
    </row>
    <row r="182" spans="3:10" s="139" customFormat="1" ht="15">
      <c r="C182" s="254" t="str">
        <f>TT_CASE("Compass (Only for supported platforms)", -1, 3)</f>
        <v xml:space="preserve"> Compass (Only for supported platforms)</v>
      </c>
      <c r="D182" s="136" t="str">
        <f t="shared" si="5"/>
        <v>●</v>
      </c>
      <c r="E182" s="137" t="str">
        <f>TT_TR("X", "", "")</f>
        <v>●</v>
      </c>
      <c r="F182" s="138" t="s">
        <v>2992</v>
      </c>
      <c r="G182" s="277" t="str">
        <f>TT_TR("P", "", "")</f>
        <v>P</v>
      </c>
      <c r="H182" s="138" t="s">
        <v>2977</v>
      </c>
      <c r="I182" s="247"/>
    </row>
    <row r="183" spans="3:10" s="139" customFormat="1" ht="18">
      <c r="C183" s="254" t="str">
        <f>TT_CASE("Accelerometer (Only for supported platforms)", -1, 3)</f>
        <v xml:space="preserve"> Accelerometer (Only for supported platforms)</v>
      </c>
      <c r="D183" s="136" t="str">
        <f t="shared" si="5"/>
        <v>●</v>
      </c>
      <c r="E183" s="141" t="str">
        <f>TT_TR("X", "", "")</f>
        <v>●</v>
      </c>
      <c r="F183" s="198" t="s">
        <v>2992</v>
      </c>
      <c r="G183" s="280" t="str">
        <f>TT_TR("P", "", "")</f>
        <v>P</v>
      </c>
      <c r="H183" s="198" t="s">
        <v>2978</v>
      </c>
      <c r="I183" s="247"/>
      <c r="J183" s="122"/>
    </row>
    <row r="184" spans="3:10" s="139" customFormat="1" ht="18">
      <c r="C184" s="270" t="str">
        <f>TT_CASE(" Touch Screen support in HP Drive Encryption pre-boot environment", -1, 3)</f>
        <v xml:space="preserve"> Touch Screen support in HP Drive Encryption pre-boot environment</v>
      </c>
      <c r="D184" s="136" t="str">
        <f t="shared" si="5"/>
        <v>●</v>
      </c>
      <c r="E184" s="141" t="str">
        <f>TT_TR("X", "", "")</f>
        <v>●</v>
      </c>
      <c r="F184" s="198" t="s">
        <v>2992</v>
      </c>
      <c r="G184" s="288" t="str">
        <f>TT_TR("F", "", "990118")</f>
        <v>F</v>
      </c>
      <c r="H184" s="198" t="s">
        <v>2981</v>
      </c>
      <c r="I184" s="247"/>
      <c r="J184" s="122"/>
    </row>
    <row r="185" spans="3:10" s="186" customFormat="1">
      <c r="C185" s="265" t="str">
        <f>TT_CASE("Boot Block Recovery - Racer/RRR/Cyclone only", -1, 3)</f>
        <v xml:space="preserve"> Boot Block Recovery - Racer/RRR/Cyclone only</v>
      </c>
      <c r="D185" s="136" t="str">
        <f t="shared" si="5"/>
        <v>●</v>
      </c>
      <c r="E185" s="141" t="str">
        <f>TT_TR("X", "", "")</f>
        <v>●</v>
      </c>
      <c r="F185" s="244" t="s">
        <v>2992</v>
      </c>
      <c r="G185" s="284" t="str">
        <f>TT_TR("NA", "", "Not for Orbitz")</f>
        <v>NA</v>
      </c>
      <c r="H185" s="244" t="s">
        <v>2979</v>
      </c>
      <c r="I185" s="185"/>
      <c r="J185" s="122"/>
    </row>
    <row r="186" spans="3:10" s="186" customFormat="1">
      <c r="C186" s="265" t="str">
        <f>TT_CASE("Boot Block Recovery - Thriller only", -1, 3)</f>
        <v xml:space="preserve"> Boot Block Recovery - Thriller only</v>
      </c>
      <c r="D186" s="136" t="str">
        <f t="shared" si="5"/>
        <v>●</v>
      </c>
      <c r="E186" s="141" t="str">
        <f>TT_TR("X", "", "")</f>
        <v>●</v>
      </c>
      <c r="F186" s="244" t="s">
        <v>2992</v>
      </c>
      <c r="G186" s="284" t="str">
        <f>TT_TR("NA", "", "Not for Orbitz")</f>
        <v>NA</v>
      </c>
      <c r="H186" s="244" t="s">
        <v>2980</v>
      </c>
      <c r="I186" s="185"/>
    </row>
    <row r="187" spans="3:10" ht="18">
      <c r="C187" s="188" t="str">
        <f>TT_SUITE("TCE Requirements", -1, 1)</f>
        <v>▼ TCE Requirements</v>
      </c>
      <c r="D187" s="189" t="str">
        <f>TT_ROLLUP(-1, D187, D187)</f>
        <v/>
      </c>
      <c r="E187" s="190" t="str">
        <f>TT_ROLLUP(-1, E187, E187)</f>
        <v/>
      </c>
      <c r="F187" s="184"/>
      <c r="G187" s="190" t="str">
        <f>TT_ROLLUP(-1, G187, G187)</f>
        <v/>
      </c>
      <c r="H187" s="184"/>
      <c r="I187" s="294"/>
    </row>
    <row r="188" spans="3:10" ht="15">
      <c r="C188" s="297" t="s">
        <v>153</v>
      </c>
      <c r="D188" s="297" t="str">
        <f>TT_LOCK(5)</f>
        <v/>
      </c>
      <c r="E188" s="297" t="s">
        <v>2483</v>
      </c>
      <c r="F188" s="184"/>
      <c r="G188" s="297" t="s">
        <v>2483</v>
      </c>
      <c r="H188" s="184"/>
      <c r="I188" s="294"/>
    </row>
    <row r="189" spans="3:10" ht="15">
      <c r="C189" s="297" t="s">
        <v>2484</v>
      </c>
      <c r="D189" s="297" t="str">
        <f>TT_LOCK(5)</f>
        <v/>
      </c>
      <c r="E189" s="297"/>
      <c r="F189" s="184"/>
      <c r="G189" s="297"/>
      <c r="H189" s="184"/>
      <c r="I189" s="294"/>
    </row>
    <row r="190" spans="3:10" ht="15">
      <c r="C190" s="297" t="s">
        <v>2485</v>
      </c>
      <c r="D190" s="297" t="str">
        <f>TT_LOCK(5)</f>
        <v/>
      </c>
      <c r="E190" s="297"/>
      <c r="F190" s="184"/>
      <c r="G190" s="297"/>
      <c r="H190" s="184"/>
      <c r="I190" s="294"/>
    </row>
    <row r="191" spans="3:10" ht="15">
      <c r="C191" s="297" t="s">
        <v>2486</v>
      </c>
      <c r="D191" s="297" t="str">
        <f>TT_LOCK(5)</f>
        <v/>
      </c>
      <c r="E191" s="297"/>
      <c r="F191" s="293"/>
      <c r="G191" s="297"/>
      <c r="H191" s="293"/>
      <c r="I191" s="294"/>
    </row>
    <row r="192" spans="3:10" ht="15">
      <c r="C192" s="297" t="s">
        <v>2487</v>
      </c>
      <c r="D192" s="297" t="str">
        <f>TT_LOCK(5)</f>
        <v/>
      </c>
      <c r="E192" s="297"/>
      <c r="F192" s="184"/>
      <c r="G192" s="297"/>
      <c r="H192" s="184"/>
      <c r="I192" s="294"/>
    </row>
    <row r="193" spans="3:11" ht="15">
      <c r="C193" s="180" t="str">
        <f>TT_CASE("Power failure (Verify Functionality/LEDs)", -1, 1)</f>
        <v xml:space="preserve"> Power failure (Verify Functionality/LEDs)</v>
      </c>
      <c r="D193" s="276" t="str">
        <f t="shared" ref="D193:D205" si="6">TT_CYCLE(-1)</f>
        <v>P</v>
      </c>
      <c r="E193" s="362"/>
      <c r="F193" s="184"/>
      <c r="G193" s="280" t="str">
        <f>TT_TR("P", "", "")</f>
        <v>P</v>
      </c>
      <c r="H193" s="184" t="s">
        <v>2974</v>
      </c>
      <c r="I193" s="294"/>
    </row>
    <row r="194" spans="3:11" ht="15">
      <c r="C194" s="180" t="str">
        <f>TT_CASE("Memory failure (Verify Functionality/LEDs)", -1, 1)</f>
        <v xml:space="preserve"> Memory failure (Verify Functionality/LEDs)</v>
      </c>
      <c r="D194" s="276" t="str">
        <f t="shared" si="6"/>
        <v>P</v>
      </c>
      <c r="E194" s="362"/>
      <c r="F194" s="184"/>
      <c r="G194" s="280" t="str">
        <f>TT_TR("P", "", "")</f>
        <v>P</v>
      </c>
      <c r="H194" s="184" t="s">
        <v>2975</v>
      </c>
      <c r="I194" s="294"/>
    </row>
    <row r="195" spans="3:11">
      <c r="C195" s="265" t="str">
        <f>TT_CASE("DIMM Slots Swap Check", -1, 1)</f>
        <v xml:space="preserve"> DIMM Slots Swap Check</v>
      </c>
      <c r="D195" s="278" t="str">
        <f t="shared" si="6"/>
        <v>NA</v>
      </c>
      <c r="E195" s="363"/>
      <c r="F195" s="184"/>
      <c r="G195" s="284" t="str">
        <f>TT_TR("NA", "", "The Dimm can't be removed")</f>
        <v>NA</v>
      </c>
      <c r="H195" s="184" t="s">
        <v>2976</v>
      </c>
      <c r="I195" s="294"/>
    </row>
    <row r="196" spans="3:11" ht="15">
      <c r="C196" s="180" t="str">
        <f>TT_CASE("Battery Charge Error Indicator - Trickle Charging", -1, 1)</f>
        <v xml:space="preserve"> Battery Charge Error Indicator - Trickle Charging</v>
      </c>
      <c r="D196" s="136" t="str">
        <f t="shared" si="6"/>
        <v>●</v>
      </c>
      <c r="E196" s="141" t="str">
        <f>TT_TR("X", "", "")</f>
        <v>●</v>
      </c>
      <c r="F196" s="184" t="s">
        <v>2992</v>
      </c>
      <c r="G196" s="141" t="str">
        <f t="shared" ref="E196:G205" si="7">TT_TR("X", "", "")</f>
        <v>●</v>
      </c>
      <c r="H196" s="184" t="s">
        <v>2707</v>
      </c>
      <c r="I196" s="294"/>
    </row>
    <row r="197" spans="3:11" ht="15">
      <c r="C197" s="180" t="str">
        <f>TT_CASE("Battery Charge Error Indicator - Communication error", -1, 1)</f>
        <v xml:space="preserve"> Battery Charge Error Indicator - Communication error</v>
      </c>
      <c r="D197" s="136" t="str">
        <f t="shared" si="6"/>
        <v>●</v>
      </c>
      <c r="E197" s="141" t="str">
        <f>TT_TR("X", "", "")</f>
        <v>●</v>
      </c>
      <c r="F197" s="184" t="s">
        <v>2992</v>
      </c>
      <c r="G197" s="141" t="str">
        <f t="shared" si="7"/>
        <v>●</v>
      </c>
      <c r="H197" s="184" t="s">
        <v>2707</v>
      </c>
      <c r="I197" s="294"/>
    </row>
    <row r="198" spans="3:11" ht="15">
      <c r="C198" s="180" t="str">
        <f>TT_CASE("Startup Service Check: Battery Replacement Alert", -1, 1)</f>
        <v xml:space="preserve"> Startup Service Check: Battery Replacement Alert</v>
      </c>
      <c r="D198" s="136" t="str">
        <f t="shared" si="6"/>
        <v>●</v>
      </c>
      <c r="E198" s="141" t="str">
        <f>TT_TR("X", "", "")</f>
        <v>●</v>
      </c>
      <c r="F198" s="184" t="s">
        <v>2992</v>
      </c>
      <c r="G198" s="141" t="str">
        <f t="shared" si="7"/>
        <v>●</v>
      </c>
      <c r="H198" s="184" t="s">
        <v>2707</v>
      </c>
      <c r="I198" s="294"/>
    </row>
    <row r="199" spans="3:11" ht="15">
      <c r="C199" s="180" t="str">
        <f>TT_CASE("Startup Service Check: Wireless Module ID Check", -1, 1)</f>
        <v xml:space="preserve"> Startup Service Check: Wireless Module ID Check</v>
      </c>
      <c r="D199" s="136" t="str">
        <f t="shared" si="6"/>
        <v>●</v>
      </c>
      <c r="E199" s="141" t="str">
        <f>TT_TR("X", "", "")</f>
        <v>●</v>
      </c>
      <c r="F199" s="184" t="s">
        <v>2993</v>
      </c>
      <c r="G199" s="141" t="str">
        <f t="shared" si="7"/>
        <v>●</v>
      </c>
      <c r="H199" s="184" t="s">
        <v>2707</v>
      </c>
      <c r="I199" s="294"/>
    </row>
    <row r="200" spans="3:11" ht="15">
      <c r="C200" s="180" t="str">
        <f>TT_CASE("Startup Service Check: Fan Operating Check", -1, 1)</f>
        <v xml:space="preserve"> Startup Service Check: Fan Operating Check</v>
      </c>
      <c r="D200" s="136" t="str">
        <f t="shared" si="6"/>
        <v>●</v>
      </c>
      <c r="E200" s="141" t="str">
        <f>TT_TR("X", "", "")</f>
        <v>●</v>
      </c>
      <c r="F200" s="184" t="s">
        <v>2993</v>
      </c>
      <c r="G200" s="141" t="str">
        <f t="shared" si="7"/>
        <v>●</v>
      </c>
      <c r="H200" s="184" t="s">
        <v>2707</v>
      </c>
      <c r="I200" s="294"/>
    </row>
    <row r="201" spans="3:11" ht="15">
      <c r="C201" s="180" t="str">
        <f>TT_CASE("Startup Service Check: CMOS Integrity Check", -1, 1)</f>
        <v xml:space="preserve"> Startup Service Check: CMOS Integrity Check</v>
      </c>
      <c r="D201" s="136" t="str">
        <f t="shared" si="6"/>
        <v>●</v>
      </c>
      <c r="E201" s="141" t="str">
        <f>TT_TR("X", "", "")</f>
        <v>●</v>
      </c>
      <c r="F201" s="184" t="s">
        <v>2993</v>
      </c>
      <c r="G201" s="141" t="str">
        <f t="shared" si="7"/>
        <v>●</v>
      </c>
      <c r="H201" s="184" t="s">
        <v>2707</v>
      </c>
      <c r="I201" s="294"/>
    </row>
    <row r="202" spans="3:11" ht="15">
      <c r="C202" s="180" t="str">
        <f>TT_CASE("Startup Service Check: Custom Startup Logo is invalid", -1, 1)</f>
        <v xml:space="preserve"> Startup Service Check: Custom Startup Logo is invalid</v>
      </c>
      <c r="D202" s="136" t="str">
        <f t="shared" si="6"/>
        <v>●</v>
      </c>
      <c r="E202" s="141" t="str">
        <f>TT_TR("X", "", "")</f>
        <v>●</v>
      </c>
      <c r="F202" s="184" t="s">
        <v>2993</v>
      </c>
      <c r="G202" s="141" t="str">
        <f t="shared" si="7"/>
        <v>●</v>
      </c>
      <c r="H202" s="184" t="s">
        <v>2707</v>
      </c>
      <c r="I202" s="294"/>
    </row>
    <row r="203" spans="3:11" ht="15">
      <c r="C203" s="180" t="str">
        <f>TT_CASE("Boot Device Manager: Smart Hard Disk Error", -1, 1)</f>
        <v xml:space="preserve"> Boot Device Manager: Smart Hard Disk Error</v>
      </c>
      <c r="D203" s="136" t="str">
        <f t="shared" si="6"/>
        <v>●</v>
      </c>
      <c r="E203" s="141" t="str">
        <f>TT_TR("X", "", "")</f>
        <v>●</v>
      </c>
      <c r="F203" s="184" t="s">
        <v>2993</v>
      </c>
      <c r="G203" s="141" t="str">
        <f t="shared" si="7"/>
        <v>●</v>
      </c>
      <c r="H203" s="184" t="s">
        <v>2707</v>
      </c>
      <c r="I203" s="294"/>
    </row>
    <row r="204" spans="3:11" ht="15">
      <c r="C204" s="180" t="str">
        <f>TT_CASE("Boot Device Manager: Boot Device Not Found", -1, 1)</f>
        <v xml:space="preserve"> Boot Device Manager: Boot Device Not Found</v>
      </c>
      <c r="D204" s="136" t="str">
        <f t="shared" si="6"/>
        <v>●</v>
      </c>
      <c r="E204" s="141" t="str">
        <f>TT_TR("X", "", "")</f>
        <v>●</v>
      </c>
      <c r="F204" s="184" t="s">
        <v>2993</v>
      </c>
      <c r="G204" s="141" t="str">
        <f t="shared" si="7"/>
        <v>●</v>
      </c>
      <c r="H204" s="184" t="s">
        <v>2707</v>
      </c>
      <c r="I204" s="294"/>
    </row>
    <row r="205" spans="3:11" ht="15">
      <c r="C205" s="180" t="str">
        <f>TT_CASE("Boot Device Manager: Network Boot Error", -1, 1)</f>
        <v xml:space="preserve"> Boot Device Manager: Network Boot Error</v>
      </c>
      <c r="D205" s="136" t="str">
        <f t="shared" si="6"/>
        <v>●</v>
      </c>
      <c r="E205" s="141" t="str">
        <f>TT_TR("X", "", "")</f>
        <v>●</v>
      </c>
      <c r="F205" s="184" t="s">
        <v>2993</v>
      </c>
      <c r="G205" s="141" t="str">
        <f t="shared" si="7"/>
        <v>●</v>
      </c>
      <c r="H205" s="184" t="s">
        <v>2707</v>
      </c>
      <c r="I205" s="294"/>
    </row>
    <row r="206" spans="3:11">
      <c r="C206" s="199"/>
      <c r="D206" s="174"/>
      <c r="E206" s="174"/>
      <c r="G206" s="174"/>
    </row>
    <row r="207" spans="3:11">
      <c r="C207" s="200"/>
      <c r="D207" s="174"/>
      <c r="E207" s="174"/>
      <c r="G207" s="174"/>
      <c r="J207" s="295" t="s">
        <v>2491</v>
      </c>
    </row>
    <row r="208" spans="3:11">
      <c r="C208" s="201" t="s">
        <v>424</v>
      </c>
      <c r="D208" s="202"/>
      <c r="E208" s="203"/>
      <c r="F208" s="293"/>
      <c r="G208" s="203"/>
      <c r="H208" s="293"/>
      <c r="J208" s="341" t="s">
        <v>151</v>
      </c>
      <c r="K208" s="338"/>
    </row>
    <row r="209" spans="3:11">
      <c r="C209" s="204" t="s">
        <v>97</v>
      </c>
      <c r="D209" s="205">
        <f>INT(TT_COUNT(D$2:D208, -1, "*"))</f>
        <v>101</v>
      </c>
      <c r="E209" s="205">
        <f>INT(TT_COUNT(E$2:E208, -1, "*"))</f>
        <v>101</v>
      </c>
      <c r="F209" s="293"/>
      <c r="G209" s="205">
        <f>INT(TT_COUNT(G$2:G208, -1, "*"))</f>
        <v>101</v>
      </c>
      <c r="H209" s="293"/>
      <c r="J209" s="337">
        <f>SUM($D209:H209)-D209</f>
        <v>202</v>
      </c>
      <c r="K209" s="338"/>
    </row>
    <row r="210" spans="3:11" ht="12" customHeight="1">
      <c r="C210" s="204" t="s">
        <v>96</v>
      </c>
      <c r="D210" s="205">
        <f>INT(TT_COUNT(D$2:D208, -1))</f>
        <v>101</v>
      </c>
      <c r="E210" s="206">
        <f>INT(TT_COUNT(E$2:E208, -1))</f>
        <v>82</v>
      </c>
      <c r="F210" s="293"/>
      <c r="G210" s="206">
        <f>INT(TT_COUNT(G$2:G208, -1))</f>
        <v>101</v>
      </c>
      <c r="H210" s="293"/>
      <c r="J210" s="337">
        <f>SUM($D210:H210)-D210</f>
        <v>183</v>
      </c>
      <c r="K210" s="338"/>
    </row>
    <row r="211" spans="3:11">
      <c r="C211" s="204" t="s">
        <v>150</v>
      </c>
      <c r="D211" s="205">
        <f>D210-TT_COUNT(D$2:D208, -1, "P")-TT_COUNT(D$2:D208, -1, "F")-TT_COUNT(D$2:D208, -1, "I")-TT_COUNT(D$2:D208, -1, "B")-TT_COUNT(D$2:D208, -1, "NA")</f>
        <v>82</v>
      </c>
      <c r="E211" s="206">
        <f>E210-TT_COUNT(E$2:E208, -1, "P")-TT_COUNT(E$2:E208, -1, "F")-TT_COUNT(E$2:E208, -1, "I")-TT_COUNT(E$2:E208, -1, "B")-TT_COUNT(E$2:E208, -1, "NA")</f>
        <v>82</v>
      </c>
      <c r="F211" s="293"/>
      <c r="G211" s="206">
        <f>G210-TT_COUNT(G$2:G208, -1, "P")-TT_COUNT(G$2:G208, -1, "F")-TT_COUNT(G$2:G208, -1, "I")-TT_COUNT(G$2:G208, -1, "B")-TT_COUNT(G$2:G208, -1, "NA")</f>
        <v>75</v>
      </c>
      <c r="H211" s="293"/>
      <c r="J211" s="337">
        <f>SUM($D211:H211)-D211</f>
        <v>157</v>
      </c>
      <c r="K211" s="338"/>
    </row>
    <row r="212" spans="3:11">
      <c r="C212" s="207"/>
    </row>
    <row r="213" spans="3:11">
      <c r="C213" s="208" t="s">
        <v>89</v>
      </c>
      <c r="D213" s="209" t="str">
        <f>TT_COUNT(D$2:D208, -1, "P", D210)</f>
        <v>7 (6.9%)</v>
      </c>
      <c r="E213" s="206" t="str">
        <f>TT_COUNT(E$2:E208, -1, "P", E210)</f>
        <v>0 (0.0%)</v>
      </c>
      <c r="F213" s="210"/>
      <c r="G213" s="206" t="str">
        <f>TT_COUNT(G$2:G208, -1, "P", G210)</f>
        <v>11 (10.9%)</v>
      </c>
      <c r="H213" s="210"/>
      <c r="J213" s="211">
        <f t="array" ref="J213">SUM(INT(IF(LEN($D213:H213)&gt;1,LEFT($D213:H213,FIND("(",$D213:H213)-1),0)))-IF(LEN($D213)&gt;1,LEFT($D213,FIND("(",$D213)-1),0)</f>
        <v>11</v>
      </c>
      <c r="K213" s="212">
        <f>IF(J210&gt;0, J213/J210,0)</f>
        <v>6.0109289617486336E-2</v>
      </c>
    </row>
    <row r="214" spans="3:11">
      <c r="C214" s="213" t="s">
        <v>90</v>
      </c>
      <c r="D214" s="214" t="str">
        <f>TT_COUNT(D$2:D208, -1, "F", D210)</f>
        <v>0 (0.0%)</v>
      </c>
      <c r="E214" s="214" t="str">
        <f>TT_COUNT(E$2:E208, -1, "F", E210)</f>
        <v>0 (0.0%)</v>
      </c>
      <c r="F214" s="210"/>
      <c r="G214" s="214" t="str">
        <f>TT_COUNT(G$2:G208, -1, "F", G210)</f>
        <v>1 (1.0%)</v>
      </c>
      <c r="H214" s="210"/>
      <c r="J214" s="215">
        <f t="array" ref="J214">SUM(INT(IF(LEN($D214:H214)&gt;1,LEFT($D214:H214,FIND("(",$D214:H214)-1),0)))-IF(LEN($D214)&gt;1,LEFT($D214,FIND("(",$D214)-1),0)</f>
        <v>1</v>
      </c>
      <c r="K214" s="216">
        <f>IF(J210&gt;0, J214/J210,0)</f>
        <v>5.4644808743169399E-3</v>
      </c>
    </row>
    <row r="215" spans="3:11">
      <c r="C215" s="217" t="s">
        <v>91</v>
      </c>
      <c r="D215" s="206" t="str">
        <f>TT_COUNT(D$2:D208, -1, "I", D210)</f>
        <v>0 (0.0%)</v>
      </c>
      <c r="E215" s="206" t="str">
        <f>TT_COUNT(E$2:E208, -1, "I", E210)</f>
        <v>0 (0.0%)</v>
      </c>
      <c r="F215" s="210"/>
      <c r="G215" s="206" t="str">
        <f>TT_COUNT(G$2:G208, -1, "I", G210)</f>
        <v>0 (0.0%)</v>
      </c>
      <c r="H215" s="210"/>
      <c r="J215" s="211">
        <f t="array" ref="J215">SUM(INT(IF(LEN($D215:H215)&gt;1,LEFT($D215:H215,FIND("(",$D215:H215)-1),0)))-IF(LEN($D215)&gt;1,LEFT($D215,FIND("(",$D215)-1),0)</f>
        <v>0</v>
      </c>
      <c r="K215" s="212">
        <f>IF(J210&gt;0, J215/J210,0)</f>
        <v>0</v>
      </c>
    </row>
    <row r="216" spans="3:11">
      <c r="C216" s="218" t="s">
        <v>92</v>
      </c>
      <c r="D216" s="206" t="str">
        <f>TT_COUNT(D$2:D208, -1, "B", D210)</f>
        <v>0 (0.0%)</v>
      </c>
      <c r="E216" s="206" t="str">
        <f>TT_COUNT(E$2:E208, -1, "B", E210)</f>
        <v>0 (0.0%)</v>
      </c>
      <c r="F216" s="210"/>
      <c r="G216" s="206" t="str">
        <f>TT_COUNT(G$2:G208, -1, "B", G210)</f>
        <v>0 (0.0%)</v>
      </c>
      <c r="H216" s="210"/>
      <c r="J216" s="211">
        <f t="array" ref="J216">SUM(INT(IF(LEN($D216:H216)&gt;1,LEFT($D216:H216,FIND("(",$D216:H216)-1),0)))-IF(LEN($D216)&gt;1,LEFT($D216,FIND("(",$D216)-1),0)</f>
        <v>0</v>
      </c>
      <c r="K216" s="212">
        <f>IF(J210&gt;0, J216/J210,0)</f>
        <v>0</v>
      </c>
    </row>
    <row r="217" spans="3:11">
      <c r="C217" s="219" t="s">
        <v>95</v>
      </c>
      <c r="D217" s="206" t="str">
        <f>TT_COUNT(D$2:D208, -1, "NA", D210)</f>
        <v>12 (11.9%)</v>
      </c>
      <c r="E217" s="206" t="str">
        <f>TT_COUNT(E$2:E208, -1, "NA", E210)</f>
        <v>0 (0.0%)</v>
      </c>
      <c r="F217" s="210"/>
      <c r="G217" s="206" t="str">
        <f>TT_COUNT(G$2:G208, -1, "NA", G210)</f>
        <v>14 (13.9%)</v>
      </c>
      <c r="H217" s="210"/>
      <c r="J217" s="211">
        <f t="array" ref="J217">SUM(INT(IF(LEN($D217:H217)&gt;1,LEFT($D217:H217,FIND("(",$D217:H217)-1),0)))-IF(LEN($D217)&gt;1,LEFT($D217,FIND("(",$D217)-1),0)</f>
        <v>14</v>
      </c>
      <c r="K217" s="212">
        <f>IF(J210&gt;0, J217/J210,0)</f>
        <v>7.650273224043716E-2</v>
      </c>
    </row>
    <row r="218" spans="3:11">
      <c r="C218" s="207"/>
      <c r="D218" s="220"/>
      <c r="E218" s="220"/>
      <c r="G218" s="220"/>
    </row>
    <row r="219" spans="3:11">
      <c r="C219" s="221" t="s">
        <v>93</v>
      </c>
      <c r="D219" s="206" t="str">
        <f>TT_COUNT(D$2:D208, -1, "NP", D209)</f>
        <v>0 (0.0%)</v>
      </c>
      <c r="E219" s="206" t="str">
        <f>TT_COUNT(E$2:E208, -1, "NP", E209)</f>
        <v>0 (0.0%)</v>
      </c>
      <c r="F219" s="293"/>
      <c r="G219" s="206" t="str">
        <f>TT_COUNT(G$2:G208, -1, "NP", G209)</f>
        <v>0 (0.0%)</v>
      </c>
      <c r="H219" s="293"/>
      <c r="J219" s="211">
        <f t="array" ref="J219">SUM(INT(IF(LEN($D219:H219)&gt;1,LEFT($D219:H219,FIND("(",$D219:H219)-1),0)))-IF(LEN($D219)&gt;1,LEFT($D219,FIND("(",$D219)-1),0)</f>
        <v>0</v>
      </c>
      <c r="K219" s="212">
        <f>IF(J209&gt;0, J219/J209,0)</f>
        <v>0</v>
      </c>
    </row>
    <row r="220" spans="3:11">
      <c r="C220" s="222" t="s">
        <v>94</v>
      </c>
      <c r="D220" s="206" t="str">
        <f>TT_COUNT(D$2:D208, -1, "NS", D209)</f>
        <v>0 (0.0%)</v>
      </c>
      <c r="E220" s="206" t="str">
        <f>TT_COUNT(E$2:E208, -1, "NS", E209)</f>
        <v>0 (0.0%)</v>
      </c>
      <c r="F220" s="293"/>
      <c r="G220" s="206" t="str">
        <f>TT_COUNT(G$2:G208, -1, "NS", G209)</f>
        <v>0 (0.0%)</v>
      </c>
      <c r="H220" s="293"/>
      <c r="J220" s="211">
        <f t="array" ref="J220">SUM(INT(IF(LEN($D220:H220)&gt;1,LEFT($D220:H220,FIND("(",$D220:H220)-1),0)))-IF(LEN($D220)&gt;1,LEFT($D220,FIND("(",$D220)-1),0)</f>
        <v>0</v>
      </c>
      <c r="K220" s="212">
        <f>IF(J209&gt;0, J220/J209,0)</f>
        <v>0</v>
      </c>
    </row>
  </sheetData>
  <sheetProtection password="CF6D" sheet="1" objects="1" scenarios="1"/>
  <dataConsolidate/>
  <mergeCells count="84">
    <mergeCell ref="E96:F96"/>
    <mergeCell ref="E108:F108"/>
    <mergeCell ref="E133:F133"/>
    <mergeCell ref="E144:F144"/>
    <mergeCell ref="E42:F42"/>
    <mergeCell ref="E53:F53"/>
    <mergeCell ref="E60:F60"/>
    <mergeCell ref="E67:F67"/>
    <mergeCell ref="E88:F88"/>
    <mergeCell ref="E29:F29"/>
    <mergeCell ref="E30:F30"/>
    <mergeCell ref="E31:F31"/>
    <mergeCell ref="E32:F32"/>
    <mergeCell ref="E33:F33"/>
    <mergeCell ref="E24:F24"/>
    <mergeCell ref="E25:F25"/>
    <mergeCell ref="E26:F26"/>
    <mergeCell ref="E27:F27"/>
    <mergeCell ref="E28:F28"/>
    <mergeCell ref="E19:F19"/>
    <mergeCell ref="E20:F20"/>
    <mergeCell ref="E21:F21"/>
    <mergeCell ref="E22:F22"/>
    <mergeCell ref="E23:F23"/>
    <mergeCell ref="E14:F14"/>
    <mergeCell ref="E15:F15"/>
    <mergeCell ref="E16:F16"/>
    <mergeCell ref="E17:F17"/>
    <mergeCell ref="E18:F18"/>
    <mergeCell ref="E9:F9"/>
    <mergeCell ref="E10:F10"/>
    <mergeCell ref="E11:F11"/>
    <mergeCell ref="E12:F12"/>
    <mergeCell ref="E13:F13"/>
    <mergeCell ref="E3:F3"/>
    <mergeCell ref="E4:F4"/>
    <mergeCell ref="E5:F5"/>
    <mergeCell ref="E7:F7"/>
    <mergeCell ref="E8:F8"/>
    <mergeCell ref="G15:H15"/>
    <mergeCell ref="G3:H3"/>
    <mergeCell ref="G4:H4"/>
    <mergeCell ref="G5:H5"/>
    <mergeCell ref="G7:H7"/>
    <mergeCell ref="G8:H8"/>
    <mergeCell ref="G9:H9"/>
    <mergeCell ref="G10:H10"/>
    <mergeCell ref="G11:H11"/>
    <mergeCell ref="G12:H12"/>
    <mergeCell ref="G13:H13"/>
    <mergeCell ref="G14:H14"/>
    <mergeCell ref="G25:H25"/>
    <mergeCell ref="G16:H16"/>
    <mergeCell ref="G17:H17"/>
    <mergeCell ref="I17:J17"/>
    <mergeCell ref="G18:H18"/>
    <mergeCell ref="I18:J18"/>
    <mergeCell ref="G19:H19"/>
    <mergeCell ref="G20:H20"/>
    <mergeCell ref="G21:H21"/>
    <mergeCell ref="G22:H22"/>
    <mergeCell ref="G23:H23"/>
    <mergeCell ref="G24:H24"/>
    <mergeCell ref="G67:H67"/>
    <mergeCell ref="G26:H26"/>
    <mergeCell ref="G27:H27"/>
    <mergeCell ref="G28:H28"/>
    <mergeCell ref="G29:H29"/>
    <mergeCell ref="G30:H30"/>
    <mergeCell ref="G31:H31"/>
    <mergeCell ref="G32:H32"/>
    <mergeCell ref="G33:H33"/>
    <mergeCell ref="G42:H42"/>
    <mergeCell ref="G53:H53"/>
    <mergeCell ref="G60:H60"/>
    <mergeCell ref="J209:K209"/>
    <mergeCell ref="J210:K210"/>
    <mergeCell ref="J211:K211"/>
    <mergeCell ref="G88:H88"/>
    <mergeCell ref="G96:H96"/>
    <mergeCell ref="G108:H108"/>
    <mergeCell ref="G133:H133"/>
    <mergeCell ref="G144:H144"/>
    <mergeCell ref="J208:K208"/>
  </mergeCells>
  <phoneticPr fontId="37" type="noConversion"/>
  <dataValidations count="32">
    <dataValidation type="list" allowBlank="1" showInputMessage="1" showErrorMessage="1" errorTitle="Selection Required" error="Please select one of the entries from the list." sqref="H144 H108 H133 H88 H96 H42 H67 H60 H53 F144 F108 F133 F88 F96 F42 F67 F60 F53">
      <formula1>CFG_32Bit_Os</formula1>
    </dataValidation>
    <dataValidation type="list" allowBlank="1" showInputMessage="1" showErrorMessage="1" errorTitle="Selection Required" error="Please select one of the entries from the list." sqref="G133 G108 G144 G96 G88 G42 G60 G67 G53 E133 E108 E144 E96 E88 E42 E60 E67 E53">
      <formula1>CFG_Environment</formula1>
    </dataValidation>
    <dataValidation type="list" allowBlank="1" showInputMessage="1" showErrorMessage="1" errorTitle="Selection Required" error="Please select one of the entries from the list." sqref="E12:H12">
      <formula1>CFG_Graphics</formula1>
    </dataValidation>
    <dataValidation type="list" allowBlank="1" showInputMessage="1" showErrorMessage="1" errorTitle="Selection Required" error="Please select one of the entries from the list." sqref="E11:H11">
      <formula1>CFG_Video_Architecture</formula1>
    </dataValidation>
    <dataValidation type="list" allowBlank="1" showInputMessage="1" errorTitle="Selection Required" error="Please select one of the entries from the list." prompt="Enter additional items as needed" sqref="E27:H27">
      <formula1>CFG_Unit_Upgrade_Bay_Device_</formula1>
    </dataValidation>
    <dataValidation type="list" allowBlank="1" showInputMessage="1" errorTitle="Selection Required" error="Please select one of the entries from the list." prompt="Enter additional items as needed" sqref="E25:H25">
      <formula1>CFG_Camera_</formula1>
    </dataValidation>
    <dataValidation type="list" allowBlank="1" showInputMessage="1" errorTitle="Selection Required" error="Please select one of the entries from the list." sqref="G7 E7">
      <formula1>CFG_UserLabel_</formula1>
    </dataValidation>
    <dataValidation type="list" allowBlank="1" showInputMessage="1" errorTitle="Selection Required" error="Please select one of the entries from the list." prompt="Enter additional items as needed" sqref="G8 E8">
      <formula1>CFG_Unit_Id_</formula1>
    </dataValidation>
    <dataValidation type="list" allowBlank="1" showInputMessage="1" showErrorMessage="1" errorTitle="Selection Required" error="Please select one of the entries from the list." sqref="G9 E9">
      <formula1>CFG_System_Board</formula1>
    </dataValidation>
    <dataValidation type="list" allowBlank="1" showInputMessage="1" errorTitle="Selection Required" error="Please select one of the entries from the list." prompt="Enter additional items as needed" sqref="G10 E10">
      <formula1>CFG_Processor_</formula1>
    </dataValidation>
    <dataValidation type="list" allowBlank="1" showInputMessage="1" showErrorMessage="1" errorTitle="Selection Required" error="Please select one of the entries from the list." sqref="G13 E13">
      <formula1>CFG_Vram</formula1>
    </dataValidation>
    <dataValidation type="list" allowBlank="1" showInputMessage="1" errorTitle="Selection Required" error="Please select one of the entries from the list." prompt="Enter additional items as needed" sqref="G14 E14">
      <formula1>CFG_Display_Panel_</formula1>
    </dataValidation>
    <dataValidation type="list" allowBlank="1" showInputMessage="1" errorTitle="Selection Required" error="Please select one of the entries from the list." prompt="Enter additional items as needed" sqref="G15 E15">
      <formula1>CFG_Memory_Slot_1_</formula1>
    </dataValidation>
    <dataValidation type="list" allowBlank="1" showInputMessage="1" errorTitle="Selection Required" error="Please select one of the entries from the list." prompt="Enter additional items as needed" sqref="G16 E16">
      <formula1>CFG_Memory_Slot_2_</formula1>
    </dataValidation>
    <dataValidation type="list" allowBlank="1" showInputMessage="1" errorTitle="Selection Required" error="Please select one of the entries from the list." prompt="Enter additional items as needed" sqref="G17 I17 E17">
      <formula1>CFG_Memory_Slot_3_</formula1>
    </dataValidation>
    <dataValidation type="list" allowBlank="1" showInputMessage="1" errorTitle="Selection Required" error="Please select one of the entries from the list." prompt="Enter additional items as needed" sqref="G18 I18 E18">
      <formula1>CFG_Memory_Slot_4_</formula1>
    </dataValidation>
    <dataValidation type="list" allowBlank="1" showInputMessage="1" errorTitle="Selection Required" error="Please select one of the entries from the list." prompt="Enter additional items as needed" sqref="G19 E19">
      <formula1>CFG_Hard_Drive_</formula1>
    </dataValidation>
    <dataValidation type="list" allowBlank="1" showInputMessage="1" showErrorMessage="1" errorTitle="Selection Required" error="Please select one of the entries from the list." sqref="G20 E20">
      <formula1>CFG_Bluetooth_Module</formula1>
    </dataValidation>
    <dataValidation type="list" allowBlank="1" showInputMessage="1" errorTitle="Selection Required" error="Please select one of the entries from the list." prompt="Enter additional items as needed" sqref="G21 E21">
      <formula1>CFG_Wireless_Lan_</formula1>
    </dataValidation>
    <dataValidation type="list" allowBlank="1" showInputMessage="1" errorTitle="Selection Required" error="Please select one of the entries from the list." prompt="Enter additional items as needed" sqref="G22 E22">
      <formula1>CFG_Wireless_Wan_</formula1>
    </dataValidation>
    <dataValidation type="list" allowBlank="1" showInputMessage="1" showErrorMessage="1" errorTitle="Selection Required" error="Please select one of the entries from the list." sqref="G23 E23">
      <formula1>CFG_Wired_Nic</formula1>
    </dataValidation>
    <dataValidation type="list" allowBlank="1" showInputMessage="1" showErrorMessage="1" errorTitle="Selection Required" error="Please select one of the entries from the list." sqref="G24 E24">
      <formula1>CFG_Modem</formula1>
    </dataValidation>
    <dataValidation type="list" allowBlank="1" showInputMessage="1" showErrorMessage="1" errorTitle="Selection Required" error="Please select one of the entries from the list." sqref="G26 E26">
      <formula1>CFG_Fingerprint_Reader</formula1>
    </dataValidation>
    <dataValidation type="list" allowBlank="1" showInputMessage="1" errorTitle="Selection Required" error="Please select one of the entries from the list." prompt="Enter additional items as needed" sqref="G28 E28">
      <formula1>CFG_Dock_Type_</formula1>
    </dataValidation>
    <dataValidation type="list" allowBlank="1" showInputMessage="1" errorTitle="Selection Required" error="Please select one of the entries from the list." prompt="Enter additional items as needed" sqref="G29 E29">
      <formula1>CFG_Dock_Bay_Device_</formula1>
    </dataValidation>
    <dataValidation type="list" allowBlank="1" showInputMessage="1" showErrorMessage="1" errorTitle="Selection Required" error="Please select one of the entries from the list." sqref="G30 E30">
      <formula1>CFG_Touchpad_Pointstick_Combo</formula1>
    </dataValidation>
    <dataValidation type="list" allowBlank="1" showInputMessage="1" showErrorMessage="1" errorTitle="Selection Required" error="Please select one of the entries from the list." sqref="G31 E31">
      <formula1>CFG_Keyboard</formula1>
    </dataValidation>
    <dataValidation type="list" allowBlank="1" showInputMessage="1" errorTitle="Selection Required" error="Please select one of the entries from the list." prompt="Enter additional items as needed" sqref="G32 E32">
      <formula1>CFG_Unit_Battery_</formula1>
    </dataValidation>
    <dataValidation type="list" allowBlank="1" showInputMessage="1" errorTitle="Selection Required" error="Please select one of the entries from the list." prompt="Enter additional items as needed" sqref="G33 E33">
      <formula1>CFG_Travel_Battery_</formula1>
    </dataValidation>
    <dataValidation type="list" allowBlank="1" showInputMessage="1" errorTitle="Selection Required" error="Please select one of the entries from the list." prompt="Enter additional items as needed" sqref="G3 E3">
      <formula1>CFG_System_Bios_</formula1>
    </dataValidation>
    <dataValidation type="list" allowBlank="1" showInputMessage="1" errorTitle="Selection Required" error="Please select one of the entries from the list." prompt="Enter additional items as needed" sqref="G4 E4">
      <formula1>CFG_Kbc_</formula1>
    </dataValidation>
    <dataValidation type="list" allowBlank="1" showInputMessage="1" errorTitle="Selection Required" error="Please select one of the entries from the list." prompt="Enter additional items as needed" sqref="G5 E5">
      <formula1>CFG_Me_Version_</formula1>
    </dataValidation>
  </dataValidations>
  <hyperlinks>
    <hyperlink ref="C137" r:id="rId1" location="ACC_BIOSCONFIGUTIL_FUNC" display="BIOS DTI"/>
    <hyperlink ref="C97" r:id="rId2" location="SUP_OS_QUICK_AC_WINPVT" display="BIOS DTI"/>
    <hyperlink ref="C110" r:id="rId3" location="SEC_SPAREKEY_ENROLL" display="BIOS DTI"/>
    <hyperlink ref="C109" r:id="rId4" location="HPPTSM_FUNCTIONAL" display="BIOS Test Plan.doc - HPPTSM_FUNCTIONAL"/>
    <hyperlink ref="C111" r:id="rId5" location="F10_FP_RESET" display="BIOS TEST PLAN.doc - F10_FP_RESET"/>
    <hyperlink ref="C43" r:id="rId6" location="F10_WIRELESS_BUTTON_EN_DIS" display="BIOS DTI"/>
    <hyperlink ref="C136" r:id="rId7" location="MPM_Mode" display="BIOS DTI"/>
    <hyperlink ref="C69" r:id="rId8" location="PORTS_DEVICES_FUNCTIONAL_COMBO_WLANBT_RF" display="BIOS Test Plan.doc - PORTS_DEVICES_FUNCTIONAL_COMBO_WLANBT_RF"/>
    <hyperlink ref="C70" r:id="rId9" location="PORTS_DEVICES_FUNCTIONAL_COMBO_WLANBT" display="BIOS Test Plan.doc - PORTS_DEVICES_FUNCTIONAL_COMBO_WLANBT"/>
    <hyperlink ref="C71" r:id="rId10" location="PORTS_DEVICES_FUNCTIONAL_COMBO_WL_WW_RF" display="BIOS Test Plan.doc - PORTS_DEVICES_FUNCTIONAL_COMBO_WL_WW_RF"/>
    <hyperlink ref="C72" r:id="rId11" location="PORTS_DEVICES_FUNCTIONAL_COMBO_WL_WW" display="BIOS Test Plan.doc - PORTS_DEVICES_FUNCTIONAL_COMBO_WL_WW"/>
    <hyperlink ref="C78" r:id="rId12" location="SUP_OS_LAN_WLAN_SWITCHING" display="BIOS DTI"/>
    <hyperlink ref="C89" r:id="rId13" location="F10_CUSTOM_LOGO_EN_DIS" display="Boot Options - Custom Logo"/>
    <hyperlink ref="C98" r:id="rId14" location="W2K_XP_MAX_CFG_CRIT_BATT_HIB_ACT" display="BIOS DTI"/>
    <hyperlink ref="C61" r:id="rId15" location="F2_ADVANCED_SYSTEM_DIAG" display="BIOS DTI"/>
    <hyperlink ref="C174" r:id="rId16" location="BIT_LOCKER_EFI_OS" display="BIOS Test Plan.doc - BIT_LOCKER_EFI_OS"/>
    <hyperlink ref="C112" r:id="rId17" location="F10_RESET_SECURITY_KEYS" display="BIOS DTI"/>
    <hyperlink ref="C193" r:id="rId18" location="TCE_POWER_FAIL" display="BIOS DTI"/>
    <hyperlink ref="C194" r:id="rId19" location="TCE_MEM_FAIL" display="BIOS DTI"/>
    <hyperlink ref="C198" r:id="rId20" location="TCE_BATT_ALERT" display="BIOS DTI"/>
    <hyperlink ref="C201" r:id="rId21" location="DOS_TOOL_CMOS_RESET_BATT_OFF" display="BIOS DTI"/>
    <hyperlink ref="C199" r:id="rId22" location="TCE_WIRELESS_FAIL" display="BIOS Test Plan.doc - TCE_WIRELESS_FAIL"/>
    <hyperlink ref="C196" r:id="rId23" location="TCE_BATT_ERR_TRICKEL" display="BIOS DTI"/>
    <hyperlink ref="C197" r:id="rId24" location="TCE_BATT_COMMUNICATION_ERROR" display="BIOS Test Plan.doc - TCE_BATT_COMMUNICATION_ERROR"/>
    <hyperlink ref="C200" r:id="rId25" location="TCE_FAN_OPERANTING_CHECK" display="BIOS Test Plan.doc - TCE_FAN_OPERANTING_CHECK"/>
    <hyperlink ref="C202" r:id="rId26" location="TCE_CUSTOM_LOGO_INVALID" display="BIOS DTI"/>
    <hyperlink ref="C203" r:id="rId27" location="TCE_SMART_HARD_DISK_ERROR" display="BIOS DTI"/>
    <hyperlink ref="C204" r:id="rId28" location="TCE_NO_BOOT_DEVICE" display="BIOS Test Plan.doc - TCE_NO_BOOT_DEVICE"/>
    <hyperlink ref="C205" r:id="rId29" location="TCE_NETWORK_BOOT_ERROR" display="BIOS Test Plan.doc - TCE_NETWORK_BOOT_ERROR"/>
    <hyperlink ref="C175" r:id="rId30" location="BIOS_Pwr_On" display="BIOS DTI"/>
    <hyperlink ref="C176" r:id="rId31" location="F10_USB_CHARGING_PORT" display="BIOS DTI"/>
    <hyperlink ref="C116" r:id="rId32" location="SUP_OS_TPM_PPI" display="BIOS TEST PLAN.doc - SUP_OS_TPM_PPI"/>
    <hyperlink ref="C81" r:id="rId33" location="PORTS_DEVICES_FUNCTIONAL_SC_POWER_SAV" display="BIOS DTI"/>
    <hyperlink ref="C54" r:id="rId34" location="POWER_CONTROL_PEAK_SHIFT_WINPVT" display="BIOS Test Plan.doc - POWER_CONTROL_PEAK_SHIFT_WINPVT"/>
    <hyperlink ref="C172" r:id="rId35" location="POWER_CONTROL_PEAK_SHIFT" display="BIOS Test Plan.doc - POWER_CONTROL_PEAK_SHIFT"/>
    <hyperlink ref="C122" r:id="rId36" location="SAVE_RESTORE_MBR" display="BIOS DTI"/>
    <hyperlink ref="C173" r:id="rId37" location="POWER_ON_AC_PLUGGED" display="BIOS DTI"/>
    <hyperlink ref="C99" r:id="rId38" location="ACPI_50_SUPPORT" display="BIOS DTI"/>
    <hyperlink ref="C146" r:id="rId39" location="WIN_SEAMLESS_BOOT" display="BIOS DTI"/>
    <hyperlink ref="C75" r:id="rId40" location="PORTS_DEVICES_FUNCTIONAL_TOUCHPAD" display="BIOS Test Plan.doc - PORTS_DEVICES_FUNCTIONAL_TOUCHPAD"/>
    <hyperlink ref="C76" r:id="rId41" location="PORTS_DEVICES_FUNCTIONAL_IMAGESENSOR" display="BIOS Test Plan.doc - PORTS_DEVICES_FUNCTIONAL_IMAGESENSOR"/>
    <hyperlink ref="C80" r:id="rId42" location="FUNCTIONAL_WAKE_ON_LID" display="BIOS Test Plan.doc - FUNCTIONAL_WAKE_ON_LID"/>
    <hyperlink ref="C119" r:id="rId43" location="DL_S3_S4_After_WARM" display="BIOS Test Plan.doc - DL_S3_S4_After_WARM"/>
    <hyperlink ref="C121" r:id="rId44" location="DL_S3_S4_AFTER_WARM_AUTOMATIC" display="BIOS Test Plan.doc - DL_S3_S4_AFTER_WARM_AUTOMATIC"/>
    <hyperlink ref="C120" r:id="rId45" location="DL_S3_S4_AFTER_COLD_AUTOMATIC" display="BIOS Test Plan.doc - DL_S3_S4_AFTER_COLD_AUTOMATIC"/>
    <hyperlink ref="C123" r:id="rId46" location="SUP_OS_BIOS_TCG_INTERFACE_TEST" display="BIOS DTI"/>
    <hyperlink ref="C177" r:id="rId47" location="FLASH_CACHE_SUPPORT" display="BIOS DTI"/>
    <hyperlink ref="C152" r:id="rId48" location="ACC_F11_HP_RECV" display="BIOS TEST PLAN.doc - ACC_F11_HP_RECV"/>
    <hyperlink ref="C79" r:id="rId49" location="SUP_OS_EN_DIS_AMBIENT_LIGHT_SENSOR" display="BIOS TEST PLAN.doc - SUP_OS_EN_DIS_AMBIENT_LIGHT_SENSOR"/>
    <hyperlink ref="C151" r:id="rId50" location="WIN8_TO_GO" display="BIOS DTI"/>
    <hyperlink ref="C148" r:id="rId51" location="SUP_OS_TPM_PPI_1_2" display="BIOS TEST PLAN.doc - SUP_OS_TPM_PPI_1_2"/>
    <hyperlink ref="C147" r:id="rId52" location="WIN8_BITLOCKER" display="BIOS DTI"/>
    <hyperlink ref="C150" r:id="rId53" location="WIN8_BITLOCKER_EDRIVE" display="BIOS Test Plan.doc - WIN8_BITLOCKER_EDRIVE"/>
    <hyperlink ref="C145" r:id="rId54" location="WIN8_SECURE_BOOT" display="BIOS Test Plan.doc - WIN8_SECURE_BOOT"/>
    <hyperlink ref="C149" r:id="rId55" location="MEASURED_BOOT_MOR" display="BIOS DTI"/>
    <hyperlink ref="C179" r:id="rId56" location="HYPERVISOR" display="BIOS DTI"/>
    <hyperlink ref="C154" r:id="rId57" location="BOOT_TIME_ADK" display="BIOS DTI"/>
    <hyperlink ref="C153" r:id="rId58" location="BOOT_TIME_REGISTRY" display="BIOS DTI"/>
    <hyperlink ref="C155" r:id="rId59" location="HW_CONFIGCHANGE_HW_SIGNATURE" display="BIOS DTI"/>
    <hyperlink ref="C156" r:id="rId60" location="UMDF_SECURITY_METRO" display="BIOS DTI"/>
    <hyperlink ref="C157" r:id="rId61" location="MS_DIGITAL_MARKER" display="BIOS Test Plan.doc - MS_DIGITAL_MARKER"/>
    <hyperlink ref="C178" r:id="rId62" location="INTEL_RAPID_START_TECHN" display="BIOS DTI"/>
    <hyperlink ref="C158" r:id="rId63" location="BOOT_TO_FIRMWARE" display="BIOS DTI"/>
    <hyperlink ref="C159" r:id="rId64" location="WIN_RE" display="BIOS Test Plan.doc - WIN_RE"/>
    <hyperlink ref="C135" r:id="rId65" location="PCID_SUPPORT_BCU" display="BIOS DTI"/>
    <hyperlink ref="C134" r:id="rId66" location="ENABLE_DISABLE_FACTORYMODE" display="BIOS DTI"/>
    <hyperlink ref="C180" r:id="rId67" location="MS_DIGITAL_MARKER" display="BIOS TEST PLAN.doc - MS_DIGITAL_MARKER"/>
    <hyperlink ref="C183" r:id="rId68" location="ACCELEROMETER_ODIES" display="BIOS DTI"/>
    <hyperlink ref="C182" r:id="rId69" location="COMPASS_ODIES" display="BIOS DTI"/>
    <hyperlink ref="C73" r:id="rId70" location="PORTS_DEVICES_FUNCTIONAL_WW_GPS_RF_SINGL" display="BIOS DTI"/>
    <hyperlink ref="C117" r:id="rId71" location="CHINA_TPM" display="BIOS TEST PLAN.doc - CHINA_TPM"/>
    <hyperlink ref="C118" r:id="rId72" location="DL_S3_S4_After_COLD" display="BIOS TEST PLAN.doc - DL_S3_S4_After_COLD"/>
    <hyperlink ref="C113" r:id="rId73" location="SED_OPAL_SUPPORT" display="BIOS DTI"/>
    <hyperlink ref="C45" r:id="rId74" location="OLE_LINK241_x0009_1,907318,907345,3,,ACCEPTANCE – Fn Key Switch_x000d_" display="ACCEPTANCE – Fn Key Switch"/>
    <hyperlink ref="C44" r:id="rId75" location="KBC_FN_KEYS" display="BIOS Test Plan.doc - KBC_FN_KEYS"/>
    <hyperlink ref="C124" r:id="rId76" location="ACC_COMPUTRACE" display="BIOS Test Plan.doc - ACC_COMPUTRACE"/>
    <hyperlink ref="C46" r:id="rId77" location="DEEP_SLEEP_FUNCTIONAL_x0009_1,1039624,1039641,3,,KBC – Deep Sleep_x000d_" display="KBC – Deep Sleep"/>
    <hyperlink ref="C125:C126" r:id="rId78" location="ACC_COMPUTRACE" display="BIOS Test Plan.doc - ACC_COMPUTRACE"/>
    <hyperlink ref="C125" r:id="rId79" location="OLE_LINK190_x0009_1,436766,436835,3,,Core Test ACCEPTANCE – BIOS F10 " display="Core Test ACCEPTANCE – BIOS F10 setting for HP Hypervisor Secure Boot"/>
    <hyperlink ref="C126" r:id="rId80" location="OLE_LINK184_x0009_1,439235,439302,3,,Core Test ACCEPTANCE – HP Hyperv" display="Core Test ACCEPTANCE – HP Hypervisor Secure Boot feature using BCU"/>
    <hyperlink ref="C185" r:id="rId81" location="ACC_BB_RECOVERY_RACER_RRR_CYCLONE" display="BIOS DTI"/>
    <hyperlink ref="C186" r:id="rId82" location="ACC_BB_RECOVERY_THRILLER" display="BIOS DTI"/>
    <hyperlink ref="C74" r:id="rId83" location="PORTS_DEVICES_FUNCTIONAL_WW_GPS_RF_SECON" display="BIOS DTI"/>
    <hyperlink ref="C100" r:id="rId84" location="RTC_WAKE_ME_ON" display="BIOS DTI"/>
    <hyperlink ref="C101" r:id="rId85" location="RTC_WAKE_ME_OFF" display="BIOS DTI"/>
    <hyperlink ref="C164" r:id="rId86" location="ACC_F11_HP_RECV" display="BIOS TEST PLAN.doc - ACC_F11_HP_RECV"/>
    <hyperlink ref="C163" r:id="rId87" location="WIN8_TO_GO" display="BIOS DTI"/>
    <hyperlink ref="C160" r:id="rId88" location="SUP_OS_TPM_PPI_1_2" display="BIOS TEST PLAN.doc - SUP_OS_TPM_PPI_1_2"/>
    <hyperlink ref="C162" r:id="rId89" location="WIN8_BITLOCKER_EDRIVE" display="BIOS Test Plan.doc - WIN8_BITLOCKER_EDRIVE"/>
    <hyperlink ref="C161" r:id="rId90" location="MEASURED_BOOT_MOR" display="BIOS DTI"/>
    <hyperlink ref="C166" r:id="rId91" location="BOOT_TIME_ADK" display="BIOS DTI"/>
    <hyperlink ref="C165" r:id="rId92" location="BOOT_TIME_REGISTRY" display="BIOS DTI"/>
    <hyperlink ref="C167" r:id="rId93" location="HW_CONFIGCHANGE_HW_SIGNATURE" display="BIOS DTI"/>
    <hyperlink ref="C168" r:id="rId94" location="UMDF_SECURITY_METRO" display="BIOS DTI"/>
    <hyperlink ref="C169" r:id="rId95" location="MS_DIGITAL_MARKER" display="BIOS Test Plan.doc - MS_DIGITAL_MARKER"/>
    <hyperlink ref="C170" r:id="rId96" location="BOOT_TO_FIRMWARE" display="BIOS DTI"/>
    <hyperlink ref="C171" r:id="rId97" location="WIN_RE" display="BIOS Test Plan.doc - WIN_RE"/>
    <hyperlink ref="C114" r:id="rId98" location="OLE_LINK139_x0009_1,1229639,1229705,3,,ACCEPTANCE – Pending BIOS Update" display="ACCEPTANCE – Pending BIOS Update testing with HW Encrypted SED HDD"/>
    <hyperlink ref="C115" r:id="rId99" location="OLE_LINK140_x0009_1,1237404,1237484,3,,ACCEPTANCE – Performing F11 Reco" display="ACCEPTANCE – Performing F11 Recovery after Warm boot with HW Encrypted SED HDD."/>
    <hyperlink ref="C195" r:id="rId100" location="OLE_LINK178_x0009_1,1028819,1028848,3,,TCE  - DIMM Slots Swap Check_x000d_" display="TCE  - DIMM Slots Swap Check"/>
    <hyperlink ref="C184" r:id="rId101" location="OLE_LINK192_x0009_1,680099,680164,3,,Touch Screen support in HP Drive" display="Touch Screen support in HP Drive Encryption pre-boot environment"/>
    <hyperlink ref="C181" r:id="rId102" location="OLE_LINK223_x0009_1,660539,660596,3,,ACCEPTANCE /TOOLS – Updating Sen" display="ACCEPTANCE /TOOLS – Updating Sensor Hub firmware.  (TBD)"/>
  </hyperlinks>
  <pageMargins left="0.25" right="0.25" top="0.5" bottom="0.75" header="0.25" footer="0.25"/>
  <pageSetup scale="94" fitToHeight="100" orientation="landscape" r:id="rId103"/>
  <headerFooter alignWithMargins="0">
    <oddHeader>&amp;L&amp;8&amp;A&amp;R&amp;8&amp;F</oddHeader>
    <oddFooter>&amp;C&amp;"Arial,Bold"- HP CONFIDENTIAL -&amp;R&amp;8Page &amp;P of &amp;N</oddFooter>
  </headerFooter>
  <legacyDrawing r:id="rId10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4">
    <outlinePr summaryBelow="0" summaryRight="0"/>
    <pageSetUpPr autoPageBreaks="0" fitToPage="1"/>
  </sheetPr>
  <dimension ref="A1:K69"/>
  <sheetViews>
    <sheetView showGridLines="0" zoomScale="90" zoomScaleNormal="90" workbookViewId="0">
      <pane xSplit="3" ySplit="7" topLeftCell="D44" activePane="bottomRight" state="frozen"/>
      <selection activeCell="E36" sqref="E36"/>
      <selection pane="topRight" activeCell="E36" sqref="E36"/>
      <selection pane="bottomLeft" activeCell="E36" sqref="E36"/>
      <selection pane="bottomRight" activeCell="E7" sqref="E7:F7"/>
    </sheetView>
  </sheetViews>
  <sheetFormatPr defaultRowHeight="12.75"/>
  <cols>
    <col min="1" max="1" width="9.85546875" style="120" hidden="1" customWidth="1"/>
    <col min="2" max="2" width="4.5703125" style="120" customWidth="1"/>
    <col min="3" max="3" width="96" style="120" customWidth="1"/>
    <col min="4" max="4" width="10.7109375" style="120" customWidth="1"/>
    <col min="5" max="5" width="45.7109375" style="120" customWidth="1"/>
    <col min="6" max="6" width="10.42578125" style="120" hidden="1" customWidth="1"/>
    <col min="7" max="7" width="45.7109375" style="120" customWidth="1"/>
    <col min="8" max="8" width="10.42578125" style="120" hidden="1" customWidth="1"/>
    <col min="9" max="9" width="9.140625" style="120"/>
    <col min="10" max="10" width="10.28515625" style="120" customWidth="1"/>
    <col min="11" max="16384" width="9.140625" style="120"/>
  </cols>
  <sheetData>
    <row r="1" spans="1:9" ht="14.25" hidden="1" customHeight="1">
      <c r="A1" s="120">
        <v>57</v>
      </c>
    </row>
    <row r="2" spans="1:9">
      <c r="A2" s="120">
        <f>COLUMN(C57)</f>
        <v>3</v>
      </c>
      <c r="C2" s="121" t="s">
        <v>2480</v>
      </c>
      <c r="E2" s="122" t="str">
        <f>TT_LOCK(0)</f>
        <v/>
      </c>
      <c r="G2" s="357" t="str">
        <f>TT_LOCK(4)</f>
        <v>***RESULTS LOCKED***</v>
      </c>
    </row>
    <row r="3" spans="1:9">
      <c r="A3" s="120">
        <f>COLUMN(J57)</f>
        <v>10</v>
      </c>
      <c r="C3" s="123" t="str">
        <f>TT_CFG("System Bios")</f>
        <v>System Bios</v>
      </c>
      <c r="E3" s="333">
        <v>0.46</v>
      </c>
      <c r="F3" s="334"/>
      <c r="G3" s="333">
        <v>0.45</v>
      </c>
      <c r="H3" s="334"/>
      <c r="I3" s="124"/>
    </row>
    <row r="4" spans="1:9">
      <c r="C4" s="123" t="str">
        <f>TT_CFG("Kbc")</f>
        <v>Kbc</v>
      </c>
      <c r="E4" s="333" t="s">
        <v>2997</v>
      </c>
      <c r="F4" s="334"/>
      <c r="G4" s="333">
        <v>45.09</v>
      </c>
      <c r="H4" s="334"/>
      <c r="I4" s="124"/>
    </row>
    <row r="5" spans="1:9">
      <c r="C5" s="123" t="str">
        <f>TT_CFG("Me Version")</f>
        <v>Me Version</v>
      </c>
      <c r="E5" s="333" t="s">
        <v>2998</v>
      </c>
      <c r="F5" s="334"/>
      <c r="G5" s="333" t="s">
        <v>2791</v>
      </c>
      <c r="H5" s="334"/>
      <c r="I5" s="124"/>
    </row>
    <row r="6" spans="1:9">
      <c r="I6" s="125"/>
    </row>
    <row r="7" spans="1:9">
      <c r="C7" s="126" t="str">
        <f>TT_CFG("UserLabel")</f>
        <v>Configuration ID</v>
      </c>
      <c r="D7" s="127"/>
      <c r="E7" s="335" t="s">
        <v>2972</v>
      </c>
      <c r="F7" s="336"/>
      <c r="G7" s="335" t="s">
        <v>2972</v>
      </c>
      <c r="H7" s="336"/>
      <c r="I7" s="124"/>
    </row>
    <row r="8" spans="1:9" ht="12.75" customHeight="1">
      <c r="C8" s="128" t="str">
        <f>TT_CFG("Unit Id")</f>
        <v>Unit Id</v>
      </c>
      <c r="D8" s="127"/>
      <c r="E8" s="329" t="s">
        <v>2779</v>
      </c>
      <c r="F8" s="328"/>
      <c r="G8" s="329" t="s">
        <v>2779</v>
      </c>
      <c r="H8" s="328"/>
      <c r="I8" s="124"/>
    </row>
    <row r="9" spans="1:9" ht="12.75" customHeight="1">
      <c r="C9" s="128" t="str">
        <f>TT_CFG("System Board")</f>
        <v>System Board</v>
      </c>
      <c r="D9" s="127"/>
      <c r="E9" s="329" t="s">
        <v>2780</v>
      </c>
      <c r="F9" s="328"/>
      <c r="G9" s="329" t="s">
        <v>2780</v>
      </c>
      <c r="H9" s="328"/>
      <c r="I9" s="124"/>
    </row>
    <row r="10" spans="1:9" ht="12.75" customHeight="1">
      <c r="C10" s="128" t="str">
        <f>TT_CFG("Processor")</f>
        <v>Processor</v>
      </c>
      <c r="D10" s="127"/>
      <c r="E10" s="329" t="s">
        <v>2781</v>
      </c>
      <c r="F10" s="328"/>
      <c r="G10" s="329" t="s">
        <v>2781</v>
      </c>
      <c r="H10" s="328"/>
      <c r="I10" s="124"/>
    </row>
    <row r="11" spans="1:9" ht="12.75" customHeight="1">
      <c r="C11" s="128" t="str">
        <f>TT_CFG("Video Architecture")</f>
        <v>Video Architecture</v>
      </c>
      <c r="D11" s="127"/>
      <c r="E11" s="329" t="s">
        <v>183</v>
      </c>
      <c r="F11" s="328"/>
      <c r="G11" s="329" t="s">
        <v>183</v>
      </c>
      <c r="H11" s="328"/>
      <c r="I11" s="124"/>
    </row>
    <row r="12" spans="1:9" ht="12.75" customHeight="1">
      <c r="C12" s="128" t="str">
        <f>TT_CFG("Graphics")</f>
        <v>Graphics</v>
      </c>
      <c r="D12" s="127"/>
      <c r="E12" s="329" t="s">
        <v>1820</v>
      </c>
      <c r="F12" s="328"/>
      <c r="G12" s="329" t="s">
        <v>1820</v>
      </c>
      <c r="H12" s="328"/>
      <c r="I12" s="124"/>
    </row>
    <row r="13" spans="1:9" ht="12.75" customHeight="1">
      <c r="C13" s="128" t="str">
        <f>TT_CFG("Vram")</f>
        <v>Vram</v>
      </c>
      <c r="D13" s="127"/>
      <c r="E13" s="329" t="s">
        <v>166</v>
      </c>
      <c r="F13" s="328"/>
      <c r="G13" s="329" t="s">
        <v>166</v>
      </c>
      <c r="H13" s="328"/>
      <c r="I13" s="124"/>
    </row>
    <row r="14" spans="1:9" ht="12.75" customHeight="1">
      <c r="C14" s="128" t="str">
        <f>TT_CFG("Display Panel")</f>
        <v>Display Panel</v>
      </c>
      <c r="D14" s="127"/>
      <c r="E14" s="329" t="s">
        <v>1819</v>
      </c>
      <c r="F14" s="328"/>
      <c r="G14" s="329" t="s">
        <v>1819</v>
      </c>
      <c r="H14" s="328"/>
      <c r="I14" s="124"/>
    </row>
    <row r="15" spans="1:9" ht="12.75" customHeight="1">
      <c r="C15" s="128" t="str">
        <f>TT_CFG("Memory Slot 1")</f>
        <v>Memory Slot 1</v>
      </c>
      <c r="D15" s="127"/>
      <c r="E15" s="329" t="s">
        <v>2782</v>
      </c>
      <c r="F15" s="328"/>
      <c r="G15" s="329" t="s">
        <v>2782</v>
      </c>
      <c r="H15" s="328"/>
      <c r="I15" s="124"/>
    </row>
    <row r="16" spans="1:9" ht="12.75" customHeight="1">
      <c r="C16" s="128" t="str">
        <f>TT_CFG("Memory Slot 2")</f>
        <v>Memory Slot 2</v>
      </c>
      <c r="D16" s="127"/>
      <c r="E16" s="329" t="s">
        <v>166</v>
      </c>
      <c r="F16" s="328"/>
      <c r="G16" s="329" t="s">
        <v>166</v>
      </c>
      <c r="H16" s="328"/>
      <c r="I16" s="124"/>
    </row>
    <row r="17" spans="3:10" ht="12.75" customHeight="1">
      <c r="C17" s="128" t="str">
        <f>TT_CFG("Memory Slot 3")</f>
        <v>Memory Slot 3</v>
      </c>
      <c r="D17" s="127"/>
      <c r="E17" s="329" t="s">
        <v>166</v>
      </c>
      <c r="F17" s="328"/>
      <c r="G17" s="329" t="s">
        <v>166</v>
      </c>
      <c r="H17" s="328"/>
      <c r="I17" s="353"/>
      <c r="J17" s="354"/>
    </row>
    <row r="18" spans="3:10" ht="12.75" customHeight="1">
      <c r="C18" s="128" t="str">
        <f>TT_CFG("Memory Slot 4")</f>
        <v>Memory Slot 4</v>
      </c>
      <c r="D18" s="127"/>
      <c r="E18" s="329" t="s">
        <v>166</v>
      </c>
      <c r="F18" s="328"/>
      <c r="G18" s="329" t="s">
        <v>166</v>
      </c>
      <c r="H18" s="328"/>
      <c r="I18" s="353"/>
      <c r="J18" s="354"/>
    </row>
    <row r="19" spans="3:10" ht="12.75" customHeight="1">
      <c r="C19" s="128" t="str">
        <f>TT_CFG("Hard Drive")</f>
        <v>Hard Drive</v>
      </c>
      <c r="D19" s="127"/>
      <c r="E19" s="329" t="s">
        <v>2783</v>
      </c>
      <c r="F19" s="328"/>
      <c r="G19" s="329" t="s">
        <v>2783</v>
      </c>
      <c r="H19" s="328"/>
      <c r="I19" s="124"/>
    </row>
    <row r="20" spans="3:10" ht="12.75" customHeight="1">
      <c r="C20" s="128" t="str">
        <f>TT_CFG("Bluetooth Module")</f>
        <v>Bluetooth Module</v>
      </c>
      <c r="D20" s="127"/>
      <c r="E20" s="329" t="s">
        <v>2784</v>
      </c>
      <c r="F20" s="328"/>
      <c r="G20" s="329" t="s">
        <v>2784</v>
      </c>
      <c r="H20" s="328"/>
      <c r="I20" s="124"/>
    </row>
    <row r="21" spans="3:10" ht="12.75" customHeight="1">
      <c r="C21" s="128" t="str">
        <f>TT_CFG("Wireless Lan")</f>
        <v>Wireless Lan</v>
      </c>
      <c r="D21" s="127"/>
      <c r="E21" s="329" t="s">
        <v>2784</v>
      </c>
      <c r="F21" s="328"/>
      <c r="G21" s="329" t="s">
        <v>2784</v>
      </c>
      <c r="H21" s="328"/>
      <c r="I21" s="124"/>
    </row>
    <row r="22" spans="3:10" ht="12.75" customHeight="1">
      <c r="C22" s="128" t="str">
        <f>TT_CFG("Wireless Wan")</f>
        <v>Wireless Wan</v>
      </c>
      <c r="D22" s="127"/>
      <c r="E22" s="329" t="s">
        <v>2785</v>
      </c>
      <c r="F22" s="328"/>
      <c r="G22" s="329" t="s">
        <v>2785</v>
      </c>
      <c r="H22" s="328"/>
      <c r="I22" s="124"/>
    </row>
    <row r="23" spans="3:10" ht="12.75" customHeight="1">
      <c r="C23" s="128" t="str">
        <f>TT_CFG("Wired Nic")</f>
        <v>Wired Nic</v>
      </c>
      <c r="D23" s="127"/>
      <c r="E23" s="329" t="s">
        <v>166</v>
      </c>
      <c r="F23" s="328"/>
      <c r="G23" s="329" t="s">
        <v>166</v>
      </c>
      <c r="H23" s="328"/>
      <c r="I23" s="124"/>
    </row>
    <row r="24" spans="3:10" ht="12.75" customHeight="1">
      <c r="C24" s="128" t="str">
        <f>TT_CFG("Modem")</f>
        <v>Modem</v>
      </c>
      <c r="D24" s="127"/>
      <c r="E24" s="329" t="s">
        <v>166</v>
      </c>
      <c r="F24" s="328"/>
      <c r="G24" s="329" t="s">
        <v>166</v>
      </c>
      <c r="H24" s="328"/>
      <c r="I24" s="124"/>
    </row>
    <row r="25" spans="3:10" ht="12.75" customHeight="1">
      <c r="C25" s="128" t="str">
        <f>TT_CFG("Camera")</f>
        <v>Camera</v>
      </c>
      <c r="D25" s="127"/>
      <c r="E25" s="329" t="s">
        <v>2786</v>
      </c>
      <c r="F25" s="328"/>
      <c r="G25" s="329" t="s">
        <v>2786</v>
      </c>
      <c r="H25" s="328"/>
      <c r="I25" s="124"/>
    </row>
    <row r="26" spans="3:10" ht="12.75" customHeight="1">
      <c r="C26" s="128" t="str">
        <f>TT_CFG("Fingerprint Reader")</f>
        <v>Fingerprint Reader</v>
      </c>
      <c r="D26" s="127"/>
      <c r="E26" s="329" t="s">
        <v>166</v>
      </c>
      <c r="F26" s="328"/>
      <c r="G26" s="329" t="s">
        <v>166</v>
      </c>
      <c r="H26" s="328"/>
      <c r="I26" s="124"/>
    </row>
    <row r="27" spans="3:10" ht="12.75" customHeight="1">
      <c r="C27" s="128" t="str">
        <f>TT_CFG("Unit Upgrade Bay Device")</f>
        <v>Unit Upgrade Bay Device</v>
      </c>
      <c r="D27" s="127"/>
      <c r="E27" s="329" t="s">
        <v>166</v>
      </c>
      <c r="F27" s="328"/>
      <c r="G27" s="329" t="s">
        <v>166</v>
      </c>
      <c r="H27" s="328"/>
      <c r="I27" s="124"/>
    </row>
    <row r="28" spans="3:10" ht="12.75" customHeight="1">
      <c r="C28" s="128" t="str">
        <f>TT_CFG("Dock Type")</f>
        <v>Dock Type</v>
      </c>
      <c r="D28" s="127"/>
      <c r="E28" s="329" t="s">
        <v>166</v>
      </c>
      <c r="F28" s="328"/>
      <c r="G28" s="329" t="s">
        <v>166</v>
      </c>
      <c r="H28" s="328"/>
      <c r="I28" s="124"/>
    </row>
    <row r="29" spans="3:10" ht="12.75" customHeight="1">
      <c r="C29" s="128" t="str">
        <f>TT_CFG("Dock Bay Device")</f>
        <v>Dock Bay Device</v>
      </c>
      <c r="D29" s="127"/>
      <c r="E29" s="329" t="s">
        <v>166</v>
      </c>
      <c r="F29" s="328"/>
      <c r="G29" s="329" t="s">
        <v>166</v>
      </c>
      <c r="H29" s="328"/>
      <c r="I29" s="124"/>
    </row>
    <row r="30" spans="3:10" ht="12.75" customHeight="1">
      <c r="C30" s="128" t="str">
        <f>TT_CFG("Touchpad Pointstick Combo")</f>
        <v>Touchpad Pointstick Combo</v>
      </c>
      <c r="D30" s="127"/>
      <c r="E30" s="329" t="s">
        <v>283</v>
      </c>
      <c r="F30" s="328"/>
      <c r="G30" s="329" t="s">
        <v>283</v>
      </c>
      <c r="H30" s="328"/>
      <c r="I30" s="124"/>
    </row>
    <row r="31" spans="3:10" ht="12.75" customHeight="1">
      <c r="C31" s="128" t="str">
        <f>TT_CFG("Keyboard")</f>
        <v>Keyboard</v>
      </c>
      <c r="D31" s="127"/>
      <c r="E31" s="329" t="s">
        <v>239</v>
      </c>
      <c r="F31" s="328"/>
      <c r="G31" s="329" t="s">
        <v>239</v>
      </c>
      <c r="H31" s="328"/>
      <c r="I31" s="124"/>
    </row>
    <row r="32" spans="3:10" ht="12.75" customHeight="1">
      <c r="C32" s="128" t="str">
        <f>TT_CFG("Unit Battery")</f>
        <v>Unit Battery</v>
      </c>
      <c r="D32" s="127"/>
      <c r="E32" s="329" t="s">
        <v>284</v>
      </c>
      <c r="F32" s="328"/>
      <c r="G32" s="329" t="s">
        <v>284</v>
      </c>
      <c r="H32" s="328"/>
      <c r="I32" s="124"/>
    </row>
    <row r="33" spans="3:9" ht="12.75" customHeight="1">
      <c r="C33" s="128" t="str">
        <f>TT_CFG("Travel Battery")</f>
        <v>Travel Battery</v>
      </c>
      <c r="D33" s="127"/>
      <c r="E33" s="329" t="s">
        <v>166</v>
      </c>
      <c r="F33" s="328"/>
      <c r="G33" s="329" t="s">
        <v>166</v>
      </c>
      <c r="H33" s="328"/>
      <c r="I33" s="124"/>
    </row>
    <row r="35" spans="3:9">
      <c r="C35" s="298"/>
    </row>
    <row r="36" spans="3:9" ht="18">
      <c r="C36" s="133" t="str">
        <f>TT_SUITE("Production Bios", -1, 1)</f>
        <v>▼ Production Bios</v>
      </c>
      <c r="D36" s="143" t="str">
        <f>TT_ROLLUP(-1, D36, D36)</f>
        <v/>
      </c>
      <c r="E36" s="143" t="str">
        <f>TT_ROLLUP(-1, E36, E36)</f>
        <v/>
      </c>
      <c r="F36" s="132"/>
      <c r="G36" s="143" t="str">
        <f>TT_ROLLUP(-1, G36, G36)</f>
        <v/>
      </c>
      <c r="H36" s="132"/>
      <c r="I36" s="124"/>
    </row>
    <row r="37" spans="3:9" ht="15">
      <c r="C37" s="291" t="s">
        <v>153</v>
      </c>
      <c r="D37" s="291"/>
      <c r="E37" s="291" t="s">
        <v>2483</v>
      </c>
      <c r="F37" s="132"/>
      <c r="G37" s="291" t="s">
        <v>2483</v>
      </c>
      <c r="H37" s="132"/>
      <c r="I37" s="124"/>
    </row>
    <row r="38" spans="3:9" ht="15">
      <c r="C38" s="291" t="s">
        <v>2484</v>
      </c>
      <c r="D38" s="291" t="str">
        <f>TT_LOCK(5)</f>
        <v/>
      </c>
      <c r="E38" s="291"/>
      <c r="F38" s="132"/>
      <c r="G38" s="291"/>
      <c r="H38" s="132"/>
      <c r="I38" s="124"/>
    </row>
    <row r="39" spans="3:9" ht="15">
      <c r="C39" s="291" t="s">
        <v>2485</v>
      </c>
      <c r="D39" s="291" t="str">
        <f>TT_LOCK(5)</f>
        <v/>
      </c>
      <c r="E39" s="291"/>
      <c r="F39" s="132"/>
      <c r="G39" s="291"/>
      <c r="H39" s="132"/>
      <c r="I39" s="124"/>
    </row>
    <row r="40" spans="3:9" ht="15">
      <c r="C40" s="291" t="s">
        <v>2486</v>
      </c>
      <c r="D40" s="291" t="str">
        <f>TT_LOCK(5)</f>
        <v/>
      </c>
      <c r="E40" s="291"/>
      <c r="F40" s="132"/>
      <c r="G40" s="291"/>
      <c r="H40" s="132"/>
      <c r="I40" s="124"/>
    </row>
    <row r="41" spans="3:9" ht="15">
      <c r="C41" s="291" t="s">
        <v>2487</v>
      </c>
      <c r="D41" s="291" t="str">
        <f>TT_LOCK(5)</f>
        <v/>
      </c>
      <c r="E41" s="291"/>
      <c r="F41" s="132"/>
      <c r="G41" s="291"/>
      <c r="H41" s="132"/>
      <c r="I41" s="124"/>
    </row>
    <row r="42" spans="3:9" ht="15">
      <c r="C42" s="291" t="str">
        <f>TT_CFG("Environment")</f>
        <v>Environment</v>
      </c>
      <c r="D42" s="291"/>
      <c r="E42" s="330"/>
      <c r="F42" s="331"/>
      <c r="G42" s="330" t="s">
        <v>2885</v>
      </c>
      <c r="H42" s="331"/>
      <c r="I42" s="124"/>
    </row>
    <row r="43" spans="3:9" ht="15">
      <c r="C43" s="291"/>
      <c r="D43" s="291"/>
      <c r="E43" s="291"/>
      <c r="F43" s="292"/>
      <c r="G43" s="291"/>
      <c r="H43" s="292"/>
      <c r="I43" s="124"/>
    </row>
    <row r="44" spans="3:9">
      <c r="C44" s="248" t="str">
        <f>TT_CASE("Flash BIOS and Verify Settings - WinPVT", -1, 3)</f>
        <v xml:space="preserve"> Flash BIOS and Verify Settings - WinPVT</v>
      </c>
      <c r="D44" s="136" t="str">
        <f t="shared" ref="D44" si="0">TT_CYCLE(-1)</f>
        <v>●</v>
      </c>
      <c r="E44" s="137" t="str">
        <f>TT_TR("X", "", "")</f>
        <v>●</v>
      </c>
      <c r="F44" s="146" t="s">
        <v>2993</v>
      </c>
      <c r="G44" s="137" t="str">
        <f t="shared" ref="E44:G50" si="1">TT_TR("X", "", "")</f>
        <v>●</v>
      </c>
      <c r="H44" s="146" t="s">
        <v>2691</v>
      </c>
      <c r="I44" s="124"/>
    </row>
    <row r="45" spans="3:9">
      <c r="C45" s="256" t="str">
        <f>TT_CASE("Flash HPBIOSUPDREC (Upgrade From Last Customer-Rel Bios, Official Signed BIOS)", -1, 3)</f>
        <v xml:space="preserve"> Flash HPBIOSUPDREC (Upgrade From Last Customer-Rel Bios, Official Signed BIOS)</v>
      </c>
      <c r="D45" s="136" t="str">
        <f t="shared" ref="D45" si="2">TT_CYCLE(-1)</f>
        <v>●</v>
      </c>
      <c r="E45" s="137" t="str">
        <f>TT_TR("X", "", "")</f>
        <v>●</v>
      </c>
      <c r="F45" s="146" t="s">
        <v>2993</v>
      </c>
      <c r="G45" s="137" t="str">
        <f t="shared" si="1"/>
        <v>●</v>
      </c>
      <c r="H45" s="146" t="s">
        <v>2692</v>
      </c>
      <c r="I45" s="124"/>
    </row>
    <row r="46" spans="3:9">
      <c r="C46" s="248" t="str">
        <f>TT_CASE("SPI Lock Protection test - for any Official Signed Bios", -1, 3)</f>
        <v xml:space="preserve"> SPI Lock Protection test - for any Official Signed Bios</v>
      </c>
      <c r="D46" s="136" t="str">
        <f t="shared" ref="D46:D53" si="3">TT_CYCLE(-1)</f>
        <v>●</v>
      </c>
      <c r="E46" s="223" t="str">
        <f>TT_TR("X", "", "")</f>
        <v>●</v>
      </c>
      <c r="F46" s="138" t="s">
        <v>2993</v>
      </c>
      <c r="G46" s="223" t="str">
        <f t="shared" si="1"/>
        <v>●</v>
      </c>
      <c r="H46" s="138" t="s">
        <v>2718</v>
      </c>
      <c r="I46" s="124"/>
    </row>
    <row r="47" spans="3:9" ht="15">
      <c r="C47" s="180" t="str">
        <f>TT_CASE("Bios Recovery Deliverable", -1, 3)</f>
        <v xml:space="preserve"> Bios Recovery Deliverable</v>
      </c>
      <c r="D47" s="136" t="str">
        <f t="shared" si="3"/>
        <v>●</v>
      </c>
      <c r="E47" s="223" t="str">
        <f>TT_TR("X", "", "")</f>
        <v>●</v>
      </c>
      <c r="F47" s="138" t="s">
        <v>2993</v>
      </c>
      <c r="G47" s="223" t="str">
        <f t="shared" si="1"/>
        <v>●</v>
      </c>
      <c r="H47" s="138" t="s">
        <v>2718</v>
      </c>
      <c r="I47" s="124"/>
    </row>
    <row r="48" spans="3:9" ht="15">
      <c r="C48" s="180" t="str">
        <f>TT_CASE("AMD-NIST-SPI Control Register and Restricted Command", -1, 3)</f>
        <v xml:space="preserve"> AMD-NIST-SPI Control Register and Restricted Command</v>
      </c>
      <c r="D48" s="136" t="str">
        <f t="shared" si="3"/>
        <v>●</v>
      </c>
      <c r="E48" s="223" t="str">
        <f>TT_TR("X", "", "")</f>
        <v>●</v>
      </c>
      <c r="F48" s="138" t="s">
        <v>2993</v>
      </c>
      <c r="G48" s="223" t="str">
        <f t="shared" si="1"/>
        <v>●</v>
      </c>
      <c r="H48" s="138" t="s">
        <v>2718</v>
      </c>
      <c r="I48" s="124"/>
    </row>
    <row r="49" spans="3:11" ht="15">
      <c r="C49" s="180" t="str">
        <f>TT_CASE("Intel - NIST -TC01 Control Registers", -1, 3)</f>
        <v xml:space="preserve"> Intel - NIST -TC01 Control Registers</v>
      </c>
      <c r="D49" s="136" t="str">
        <f t="shared" si="3"/>
        <v>●</v>
      </c>
      <c r="E49" s="223" t="str">
        <f>TT_TR("X", "", "")</f>
        <v>●</v>
      </c>
      <c r="F49" s="138" t="s">
        <v>2993</v>
      </c>
      <c r="G49" s="223" t="str">
        <f t="shared" si="1"/>
        <v>●</v>
      </c>
      <c r="H49" s="138" t="s">
        <v>2718</v>
      </c>
      <c r="I49" s="124"/>
    </row>
    <row r="50" spans="3:11" s="295" customFormat="1" ht="18">
      <c r="C50" s="180" t="str">
        <f>TT_CASE("Intel - NIST -BIOS Control Register", -1, 1)</f>
        <v xml:space="preserve"> Intel - NIST -BIOS Control Register</v>
      </c>
      <c r="D50" s="136" t="str">
        <f t="shared" ref="D50" si="4">TT_CYCLE(-1)</f>
        <v>●</v>
      </c>
      <c r="E50" s="141" t="str">
        <f>TT_TR("X", "", "")</f>
        <v>●</v>
      </c>
      <c r="F50" s="191" t="s">
        <v>2993</v>
      </c>
      <c r="G50" s="141" t="str">
        <f t="shared" si="1"/>
        <v>●</v>
      </c>
      <c r="H50" s="191" t="s">
        <v>2772</v>
      </c>
      <c r="I50" s="294"/>
    </row>
    <row r="51" spans="3:11" ht="18">
      <c r="C51" s="267" t="s">
        <v>2740</v>
      </c>
      <c r="D51" s="143" t="str">
        <f>TT_ROLLUP(-1, $C51, $C52:$C52)</f>
        <v/>
      </c>
      <c r="E51" s="143" t="str">
        <f>TT_ROLLUP(-1, $C51, $C52:$C52)</f>
        <v/>
      </c>
      <c r="F51" s="132"/>
      <c r="G51" s="143" t="str">
        <f>TT_ROLLUP(-1, $C51, $C52:$C52)</f>
        <v/>
      </c>
      <c r="H51" s="132"/>
      <c r="I51" s="124"/>
    </row>
    <row r="52" spans="3:11" ht="25.5">
      <c r="C52" s="265" t="str">
        <f>TT_CASE("Core Test  14.2.1SPI SMRR – BIOS Write Enable Bit and SMRR test after BIOS Lock(Code Freeze) with Unlock Auto mode ", -1, 3)</f>
        <v xml:space="preserve"> Core Test  14.2.1SPI SMRR – BIOS Write Enable Bit and SMRR test after BIOS Lock(Code Freeze) with Unlock Auto mode</v>
      </c>
      <c r="D52" s="136" t="str">
        <f t="shared" si="3"/>
        <v>●</v>
      </c>
      <c r="E52" s="223" t="str">
        <f>TT_TR("X", "", "")</f>
        <v>●</v>
      </c>
      <c r="F52" s="138" t="s">
        <v>2993</v>
      </c>
      <c r="G52" s="223" t="str">
        <f>TT_TR("X", "", "")</f>
        <v>●</v>
      </c>
      <c r="H52" s="138" t="s">
        <v>2718</v>
      </c>
      <c r="I52" s="124"/>
    </row>
    <row r="53" spans="3:11" ht="25.5">
      <c r="C53" s="265" t="str">
        <f>TT_CASE("Core Test 16.1.1 Full Flash test with MPM mode – BIOS Write Enable test  with MPM Unlock and Lock on Auto/Unlock/AC ", -1, 3)</f>
        <v xml:space="preserve"> Core Test 16.1.1 Full Flash test with MPM mode – BIOS Write Enable test  with MPM Unlock and Lock on Auto/Unlock/AC</v>
      </c>
      <c r="D53" s="136" t="str">
        <f t="shared" si="3"/>
        <v>●</v>
      </c>
      <c r="E53" s="223" t="str">
        <f>TT_TR("X", "", "")</f>
        <v>●</v>
      </c>
      <c r="F53" s="138" t="s">
        <v>2993</v>
      </c>
      <c r="G53" s="223" t="str">
        <f>TT_TR("X", "", "")</f>
        <v>●</v>
      </c>
      <c r="H53" s="138" t="s">
        <v>2718</v>
      </c>
      <c r="I53" s="124"/>
    </row>
    <row r="54" spans="3:11">
      <c r="E54" s="139"/>
      <c r="F54" s="122"/>
      <c r="G54" s="139"/>
      <c r="H54" s="122"/>
    </row>
    <row r="55" spans="3:11">
      <c r="C55" s="148"/>
      <c r="D55" s="125"/>
      <c r="E55" s="125"/>
      <c r="G55" s="125"/>
    </row>
    <row r="56" spans="3:11">
      <c r="C56" s="149"/>
      <c r="D56" s="125"/>
      <c r="E56" s="125"/>
      <c r="G56" s="125"/>
    </row>
    <row r="57" spans="3:11">
      <c r="C57" s="150" t="s">
        <v>424</v>
      </c>
      <c r="D57" s="151"/>
      <c r="E57" s="152"/>
      <c r="F57" s="132"/>
      <c r="G57" s="152"/>
      <c r="H57" s="132"/>
      <c r="J57" s="332" t="s">
        <v>151</v>
      </c>
      <c r="K57" s="328"/>
    </row>
    <row r="58" spans="3:11">
      <c r="C58" s="153" t="s">
        <v>97</v>
      </c>
      <c r="D58" s="154">
        <f>INT(TT_COUNT(D$2:D57, -1, "*"))</f>
        <v>9</v>
      </c>
      <c r="E58" s="154">
        <f>INT(TT_COUNT(E$2:E57, -1, "*"))</f>
        <v>9</v>
      </c>
      <c r="F58" s="132"/>
      <c r="G58" s="154">
        <f>INT(TT_COUNT(G$2:G57, -1, "*"))</f>
        <v>9</v>
      </c>
      <c r="H58" s="132"/>
      <c r="J58" s="327">
        <f>SUM($D58:H58)-D58</f>
        <v>18</v>
      </c>
      <c r="K58" s="328"/>
    </row>
    <row r="59" spans="3:11" ht="12" customHeight="1">
      <c r="C59" s="153" t="s">
        <v>96</v>
      </c>
      <c r="D59" s="154">
        <f>INT(TT_COUNT(D$2:D57, -1))</f>
        <v>9</v>
      </c>
      <c r="E59" s="155">
        <f>INT(TT_COUNT(E$2:E57, -1))</f>
        <v>9</v>
      </c>
      <c r="F59" s="132"/>
      <c r="G59" s="155">
        <f>INT(TT_COUNT(G$2:G57, -1))</f>
        <v>9</v>
      </c>
      <c r="H59" s="132"/>
      <c r="J59" s="327">
        <f>SUM($D59:H59)-D59</f>
        <v>18</v>
      </c>
      <c r="K59" s="328"/>
    </row>
    <row r="60" spans="3:11">
      <c r="C60" s="153" t="s">
        <v>150</v>
      </c>
      <c r="D60" s="154">
        <f>D59-TT_COUNT(D$2:D57, -1, "P")-TT_COUNT(D$2:D57, -1, "F")-TT_COUNT(D$2:D57, -1, "I")-TT_COUNT(D$2:D57, -1, "B")-TT_COUNT(D$2:D57, -1, "NA")</f>
        <v>9</v>
      </c>
      <c r="E60" s="155">
        <f>E59-TT_COUNT(E$2:E57, -1, "P")-TT_COUNT(E$2:E57, -1, "F")-TT_COUNT(E$2:E57, -1, "I")-TT_COUNT(E$2:E57, -1, "B")-TT_COUNT(E$2:E57, -1, "NA")</f>
        <v>9</v>
      </c>
      <c r="F60" s="132"/>
      <c r="G60" s="155">
        <f>G59-TT_COUNT(G$2:G57, -1, "P")-TT_COUNT(G$2:G57, -1, "F")-TT_COUNT(G$2:G57, -1, "I")-TT_COUNT(G$2:G57, -1, "B")-TT_COUNT(G$2:G57, -1, "NA")</f>
        <v>9</v>
      </c>
      <c r="H60" s="132"/>
      <c r="J60" s="327">
        <f>SUM($D60:H60)-D60</f>
        <v>18</v>
      </c>
      <c r="K60" s="328"/>
    </row>
    <row r="61" spans="3:11">
      <c r="C61" s="156"/>
    </row>
    <row r="62" spans="3:11">
      <c r="C62" s="157" t="s">
        <v>89</v>
      </c>
      <c r="D62" s="158" t="str">
        <f>TT_COUNT(D$2:D57, -1, "P", D59)</f>
        <v>0 (0.0%)</v>
      </c>
      <c r="E62" s="155" t="str">
        <f>TT_COUNT(E$2:E57, -1, "P", E59)</f>
        <v>0 (0.0%)</v>
      </c>
      <c r="F62" s="146"/>
      <c r="G62" s="155" t="str">
        <f>TT_COUNT(G$2:G57, -1, "P", G59)</f>
        <v>0 (0.0%)</v>
      </c>
      <c r="H62" s="146"/>
      <c r="J62" s="159">
        <f t="array" ref="J62">SUM(INT(IF(LEN($D62:H62)&gt;1,LEFT($D62:H62,FIND("(",$D62:H62)-1),0)))-IF(LEN($D62)&gt;1,LEFT($D62,FIND("(",$D62)-1),0)</f>
        <v>0</v>
      </c>
      <c r="K62" s="160">
        <f>IF(J59&gt;0, J62/J59,0)</f>
        <v>0</v>
      </c>
    </row>
    <row r="63" spans="3:11">
      <c r="C63" s="161" t="s">
        <v>90</v>
      </c>
      <c r="D63" s="162" t="str">
        <f>TT_COUNT(D$2:D57, -1, "F", D59)</f>
        <v>0 (0.0%)</v>
      </c>
      <c r="E63" s="162" t="str">
        <f>TT_COUNT(E$2:E57, -1, "F", E59)</f>
        <v>0 (0.0%)</v>
      </c>
      <c r="F63" s="146"/>
      <c r="G63" s="162" t="str">
        <f>TT_COUNT(G$2:G57, -1, "F", G59)</f>
        <v>0 (0.0%)</v>
      </c>
      <c r="H63" s="146"/>
      <c r="J63" s="163">
        <f t="array" ref="J63">SUM(INT(IF(LEN($D63:H63)&gt;1,LEFT($D63:H63,FIND("(",$D63:H63)-1),0)))-IF(LEN($D63)&gt;1,LEFT($D63,FIND("(",$D63)-1),0)</f>
        <v>0</v>
      </c>
      <c r="K63" s="164">
        <f>IF(J59&gt;0, J63/J59,0)</f>
        <v>0</v>
      </c>
    </row>
    <row r="64" spans="3:11">
      <c r="C64" s="165" t="s">
        <v>91</v>
      </c>
      <c r="D64" s="155" t="str">
        <f>TT_COUNT(D$2:D57, -1, "I", D59)</f>
        <v>0 (0.0%)</v>
      </c>
      <c r="E64" s="155" t="str">
        <f>TT_COUNT(E$2:E57, -1, "I", E59)</f>
        <v>0 (0.0%)</v>
      </c>
      <c r="F64" s="146"/>
      <c r="G64" s="155" t="str">
        <f>TT_COUNT(G$2:G57, -1, "I", G59)</f>
        <v>0 (0.0%)</v>
      </c>
      <c r="H64" s="146"/>
      <c r="J64" s="159">
        <f t="array" ref="J64">SUM(INT(IF(LEN($D64:H64)&gt;1,LEFT($D64:H64,FIND("(",$D64:H64)-1),0)))-IF(LEN($D64)&gt;1,LEFT($D64,FIND("(",$D64)-1),0)</f>
        <v>0</v>
      </c>
      <c r="K64" s="160">
        <f>IF(J59&gt;0, J64/J59,0)</f>
        <v>0</v>
      </c>
    </row>
    <row r="65" spans="3:11">
      <c r="C65" s="166" t="s">
        <v>92</v>
      </c>
      <c r="D65" s="155" t="str">
        <f>TT_COUNT(D$2:D57, -1, "B", D59)</f>
        <v>0 (0.0%)</v>
      </c>
      <c r="E65" s="155" t="str">
        <f>TT_COUNT(E$2:E57, -1, "B", E59)</f>
        <v>0 (0.0%)</v>
      </c>
      <c r="F65" s="146"/>
      <c r="G65" s="155" t="str">
        <f>TT_COUNT(G$2:G57, -1, "B", G59)</f>
        <v>0 (0.0%)</v>
      </c>
      <c r="H65" s="146"/>
      <c r="J65" s="159">
        <f t="array" ref="J65">SUM(INT(IF(LEN($D65:H65)&gt;1,LEFT($D65:H65,FIND("(",$D65:H65)-1),0)))-IF(LEN($D65)&gt;1,LEFT($D65,FIND("(",$D65)-1),0)</f>
        <v>0</v>
      </c>
      <c r="K65" s="160">
        <f>IF(J59&gt;0, J65/J59,0)</f>
        <v>0</v>
      </c>
    </row>
    <row r="66" spans="3:11">
      <c r="C66" s="167" t="s">
        <v>95</v>
      </c>
      <c r="D66" s="155" t="str">
        <f>TT_COUNT(D$2:D57, -1, "NA", D59)</f>
        <v>0 (0.0%)</v>
      </c>
      <c r="E66" s="155" t="str">
        <f>TT_COUNT(E$2:E57, -1, "NA", E59)</f>
        <v>0 (0.0%)</v>
      </c>
      <c r="F66" s="146"/>
      <c r="G66" s="155" t="str">
        <f>TT_COUNT(G$2:G57, -1, "NA", G59)</f>
        <v>0 (0.0%)</v>
      </c>
      <c r="H66" s="146"/>
      <c r="J66" s="159">
        <f t="array" ref="J66">SUM(INT(IF(LEN($D66:H66)&gt;1,LEFT($D66:H66,FIND("(",$D66:H66)-1),0)))-IF(LEN($D66)&gt;1,LEFT($D66,FIND("(",$D66)-1),0)</f>
        <v>0</v>
      </c>
      <c r="K66" s="160">
        <f>IF(J59&gt;0, J66/J59,0)</f>
        <v>0</v>
      </c>
    </row>
    <row r="67" spans="3:11">
      <c r="C67" s="156"/>
      <c r="D67" s="168"/>
      <c r="E67" s="168"/>
      <c r="G67" s="168"/>
    </row>
    <row r="68" spans="3:11">
      <c r="C68" s="169" t="s">
        <v>93</v>
      </c>
      <c r="D68" s="155" t="str">
        <f>TT_COUNT(D$2:D57, -1, "NP", D58)</f>
        <v>0 (0.0%)</v>
      </c>
      <c r="E68" s="155" t="str">
        <f>TT_COUNT(E$2:E57, -1, "NP", E58)</f>
        <v>0 (0.0%)</v>
      </c>
      <c r="F68" s="132"/>
      <c r="G68" s="155" t="str">
        <f>TT_COUNT(G$2:G57, -1, "NP", G58)</f>
        <v>0 (0.0%)</v>
      </c>
      <c r="H68" s="132"/>
      <c r="J68" s="159">
        <f t="array" ref="J68">SUM(INT(IF(LEN($D68:H68)&gt;1,LEFT($D68:H68,FIND("(",$D68:H68)-1),0)))-IF(LEN($D68)&gt;1,LEFT($D68,FIND("(",$D68)-1),0)</f>
        <v>0</v>
      </c>
      <c r="K68" s="160">
        <f>IF(J58&gt;0, J68/J58,0)</f>
        <v>0</v>
      </c>
    </row>
    <row r="69" spans="3:11">
      <c r="C69" s="170" t="s">
        <v>94</v>
      </c>
      <c r="D69" s="155" t="str">
        <f>TT_COUNT(D$2:D57, -1, "NS", D58)</f>
        <v>0 (0.0%)</v>
      </c>
      <c r="E69" s="155" t="str">
        <f>TT_COUNT(E$2:E57, -1, "NS", E58)</f>
        <v>0 (0.0%)</v>
      </c>
      <c r="F69" s="132"/>
      <c r="G69" s="155" t="str">
        <f>TT_COUNT(G$2:G57, -1, "NS", G58)</f>
        <v>0 (0.0%)</v>
      </c>
      <c r="H69" s="132"/>
      <c r="J69" s="159">
        <f t="array" ref="J69">SUM(INT(IF(LEN($D69:H69)&gt;1,LEFT($D69:H69,FIND("(",$D69:H69)-1),0)))-IF(LEN($D69)&gt;1,LEFT($D69,FIND("(",$D69)-1),0)</f>
        <v>0</v>
      </c>
      <c r="K69" s="160">
        <f>IF(J58&gt;0, J69/J58,0)</f>
        <v>0</v>
      </c>
    </row>
  </sheetData>
  <sheetProtection password="CF6D" sheet="1" objects="1" scenarios="1"/>
  <dataConsolidate/>
  <mergeCells count="68">
    <mergeCell ref="E42:F42"/>
    <mergeCell ref="E29:F29"/>
    <mergeCell ref="E30:F30"/>
    <mergeCell ref="E31:F31"/>
    <mergeCell ref="E32:F32"/>
    <mergeCell ref="E33:F33"/>
    <mergeCell ref="E24:F24"/>
    <mergeCell ref="E25:F25"/>
    <mergeCell ref="E26:F26"/>
    <mergeCell ref="E27:F27"/>
    <mergeCell ref="E28:F28"/>
    <mergeCell ref="E19:F19"/>
    <mergeCell ref="E20:F20"/>
    <mergeCell ref="E21:F21"/>
    <mergeCell ref="E22:F22"/>
    <mergeCell ref="E23:F23"/>
    <mergeCell ref="E14:F14"/>
    <mergeCell ref="E15:F15"/>
    <mergeCell ref="E16:F16"/>
    <mergeCell ref="E17:F17"/>
    <mergeCell ref="E18:F18"/>
    <mergeCell ref="E9:F9"/>
    <mergeCell ref="E10:F10"/>
    <mergeCell ref="E11:F11"/>
    <mergeCell ref="E12:F12"/>
    <mergeCell ref="E13:F13"/>
    <mergeCell ref="E3:F3"/>
    <mergeCell ref="E4:F4"/>
    <mergeCell ref="E5:F5"/>
    <mergeCell ref="E7:F7"/>
    <mergeCell ref="E8:F8"/>
    <mergeCell ref="J57:K57"/>
    <mergeCell ref="J58:K58"/>
    <mergeCell ref="J59:K59"/>
    <mergeCell ref="J60:K60"/>
    <mergeCell ref="G32:H32"/>
    <mergeCell ref="G33:H33"/>
    <mergeCell ref="G42:H42"/>
    <mergeCell ref="I17:J17"/>
    <mergeCell ref="G18:H18"/>
    <mergeCell ref="I18:J18"/>
    <mergeCell ref="G31:H31"/>
    <mergeCell ref="G20:H20"/>
    <mergeCell ref="G21:H21"/>
    <mergeCell ref="G22:H22"/>
    <mergeCell ref="G23:H23"/>
    <mergeCell ref="G24:H24"/>
    <mergeCell ref="G25:H25"/>
    <mergeCell ref="G26:H26"/>
    <mergeCell ref="G27:H27"/>
    <mergeCell ref="G28:H28"/>
    <mergeCell ref="G29:H29"/>
    <mergeCell ref="G30:H30"/>
    <mergeCell ref="G19:H19"/>
    <mergeCell ref="G15:H15"/>
    <mergeCell ref="G16:H16"/>
    <mergeCell ref="G17:H17"/>
    <mergeCell ref="G9:H9"/>
    <mergeCell ref="G3:H3"/>
    <mergeCell ref="G4:H4"/>
    <mergeCell ref="G5:H5"/>
    <mergeCell ref="G7:H7"/>
    <mergeCell ref="G8:H8"/>
    <mergeCell ref="G10:H10"/>
    <mergeCell ref="G11:H11"/>
    <mergeCell ref="G12:H12"/>
    <mergeCell ref="G13:H13"/>
    <mergeCell ref="G14:H14"/>
  </mergeCells>
  <phoneticPr fontId="38" type="noConversion"/>
  <dataValidations count="32">
    <dataValidation type="list" allowBlank="1" showInputMessage="1" showErrorMessage="1" errorTitle="Selection Required" error="Please select one of the entries from the list." sqref="G42:G43 E42:E43">
      <formula1>CFG_Environment</formula1>
    </dataValidation>
    <dataValidation type="list" allowBlank="1" showInputMessage="1" showErrorMessage="1" errorTitle="Selection Required" error="Please select one of the entries from the list." sqref="H42:H43 F42:F43">
      <formula1>CFG_32Bit_Os</formula1>
    </dataValidation>
    <dataValidation type="list" allowBlank="1" showInputMessage="1" errorTitle="Selection Required" error="Please select one of the entries from the list." prompt="Enter additional items as needed" sqref="G5 E5">
      <formula1>CFG_Me_Version_</formula1>
    </dataValidation>
    <dataValidation type="list" allowBlank="1" showInputMessage="1" errorTitle="Selection Required" error="Please select one of the entries from the list." prompt="Enter additional items as needed" sqref="G4 E4">
      <formula1>CFG_Kbc_</formula1>
    </dataValidation>
    <dataValidation type="list" allowBlank="1" showInputMessage="1" errorTitle="Selection Required" error="Please select one of the entries from the list." prompt="Enter additional items as needed" sqref="G3 E3">
      <formula1>CFG_System_Bios_</formula1>
    </dataValidation>
    <dataValidation type="list" allowBlank="1" showInputMessage="1" errorTitle="Selection Required" error="Please select one of the entries from the list." prompt="Enter additional items as needed" sqref="G33 E33">
      <formula1>CFG_Travel_Battery_</formula1>
    </dataValidation>
    <dataValidation type="list" allowBlank="1" showInputMessage="1" errorTitle="Selection Required" error="Please select one of the entries from the list." prompt="Enter additional items as needed" sqref="G32 E32">
      <formula1>CFG_Unit_Battery_</formula1>
    </dataValidation>
    <dataValidation type="list" allowBlank="1" showInputMessage="1" showErrorMessage="1" errorTitle="Selection Required" error="Please select one of the entries from the list." sqref="G31 E31">
      <formula1>CFG_Keyboard</formula1>
    </dataValidation>
    <dataValidation type="list" allowBlank="1" showInputMessage="1" showErrorMessage="1" errorTitle="Selection Required" error="Please select one of the entries from the list." sqref="G30 E30">
      <formula1>CFG_Touchpad_Pointstick_Combo</formula1>
    </dataValidation>
    <dataValidation type="list" allowBlank="1" showInputMessage="1" errorTitle="Selection Required" error="Please select one of the entries from the list." prompt="Enter additional items as needed" sqref="G29 E29">
      <formula1>CFG_Dock_Bay_Device_</formula1>
    </dataValidation>
    <dataValidation type="list" allowBlank="1" showInputMessage="1" errorTitle="Selection Required" error="Please select one of the entries from the list." prompt="Enter additional items as needed" sqref="G28 E28">
      <formula1>CFG_Dock_Type_</formula1>
    </dataValidation>
    <dataValidation type="list" allowBlank="1" showInputMessage="1" errorTitle="Selection Required" error="Please select one of the entries from the list." prompt="Enter additional items as needed" sqref="E27:H27">
      <formula1>CFG_Unit_Upgrade_Bay_Device_</formula1>
    </dataValidation>
    <dataValidation type="list" allowBlank="1" showInputMessage="1" showErrorMessage="1" errorTitle="Selection Required" error="Please select one of the entries from the list." sqref="G26 E26">
      <formula1>CFG_Fingerprint_Reader</formula1>
    </dataValidation>
    <dataValidation type="list" allowBlank="1" showInputMessage="1" errorTitle="Selection Required" error="Please select one of the entries from the list." prompt="Enter additional items as needed" sqref="E25:H25">
      <formula1>CFG_Camera_</formula1>
    </dataValidation>
    <dataValidation type="list" allowBlank="1" showInputMessage="1" showErrorMessage="1" errorTitle="Selection Required" error="Please select one of the entries from the list." sqref="G24 E24">
      <formula1>CFG_Modem</formula1>
    </dataValidation>
    <dataValidation type="list" allowBlank="1" showInputMessage="1" showErrorMessage="1" errorTitle="Selection Required" error="Please select one of the entries from the list." sqref="G23 E23">
      <formula1>CFG_Wired_Nic</formula1>
    </dataValidation>
    <dataValidation type="list" allowBlank="1" showInputMessage="1" errorTitle="Selection Required" error="Please select one of the entries from the list." prompt="Enter additional items as needed" sqref="G22 E22">
      <formula1>CFG_Wireless_Wan_</formula1>
    </dataValidation>
    <dataValidation type="list" allowBlank="1" showInputMessage="1" errorTitle="Selection Required" error="Please select one of the entries from the list." prompt="Enter additional items as needed" sqref="G21 E21">
      <formula1>CFG_Wireless_Lan_</formula1>
    </dataValidation>
    <dataValidation type="list" allowBlank="1" showInputMessage="1" showErrorMessage="1" errorTitle="Selection Required" error="Please select one of the entries from the list." sqref="G20 E20">
      <formula1>CFG_Bluetooth_Module</formula1>
    </dataValidation>
    <dataValidation type="list" allowBlank="1" showInputMessage="1" errorTitle="Selection Required" error="Please select one of the entries from the list." prompt="Enter additional items as needed" sqref="G19 E19">
      <formula1>CFG_Hard_Drive_</formula1>
    </dataValidation>
    <dataValidation type="list" allowBlank="1" showInputMessage="1" errorTitle="Selection Required" error="Please select one of the entries from the list." prompt="Enter additional items as needed" sqref="I18 G18 E18">
      <formula1>CFG_Memory_Slot_4_</formula1>
    </dataValidation>
    <dataValidation type="list" allowBlank="1" showInputMessage="1" errorTitle="Selection Required" error="Please select one of the entries from the list." prompt="Enter additional items as needed" sqref="I17 G17 E17">
      <formula1>CFG_Memory_Slot_3_</formula1>
    </dataValidation>
    <dataValidation type="list" allowBlank="1" showInputMessage="1" errorTitle="Selection Required" error="Please select one of the entries from the list." prompt="Enter additional items as needed" sqref="G16 E16">
      <formula1>CFG_Memory_Slot_2_</formula1>
    </dataValidation>
    <dataValidation type="list" allowBlank="1" showInputMessage="1" errorTitle="Selection Required" error="Please select one of the entries from the list." prompt="Enter additional items as needed" sqref="G15 E15">
      <formula1>CFG_Memory_Slot_1_</formula1>
    </dataValidation>
    <dataValidation type="list" allowBlank="1" showInputMessage="1" errorTitle="Selection Required" error="Please select one of the entries from the list." prompt="Enter additional items as needed" sqref="G14 E14">
      <formula1>CFG_Display_Panel_</formula1>
    </dataValidation>
    <dataValidation type="list" allowBlank="1" showInputMessage="1" showErrorMessage="1" errorTitle="Selection Required" error="Please select one of the entries from the list." sqref="G13 E13">
      <formula1>CFG_Vram</formula1>
    </dataValidation>
    <dataValidation type="list" allowBlank="1" showInputMessage="1" showErrorMessage="1" errorTitle="Selection Required" error="Please select one of the entries from the list." sqref="E12:H12">
      <formula1>CFG_Graphics</formula1>
    </dataValidation>
    <dataValidation type="list" allowBlank="1" showInputMessage="1" showErrorMessage="1" errorTitle="Selection Required" error="Please select one of the entries from the list." sqref="E11:H11">
      <formula1>CFG_Video_Architecture</formula1>
    </dataValidation>
    <dataValidation type="list" allowBlank="1" showInputMessage="1" errorTitle="Selection Required" error="Please select one of the entries from the list." prompt="Enter additional items as needed" sqref="G10 E10">
      <formula1>CFG_Processor_</formula1>
    </dataValidation>
    <dataValidation type="list" allowBlank="1" showInputMessage="1" showErrorMessage="1" errorTitle="Selection Required" error="Please select one of the entries from the list." sqref="G9 E9">
      <formula1>CFG_System_Board</formula1>
    </dataValidation>
    <dataValidation type="list" allowBlank="1" showInputMessage="1" errorTitle="Selection Required" error="Please select one of the entries from the list." prompt="Enter additional items as needed" sqref="G8 E8">
      <formula1>CFG_Unit_Id_</formula1>
    </dataValidation>
    <dataValidation type="list" allowBlank="1" showInputMessage="1" errorTitle="Selection Required" error="Please select one of the entries from the list." sqref="G7 E7">
      <formula1>CFG_UserLabel_</formula1>
    </dataValidation>
  </dataValidations>
  <hyperlinks>
    <hyperlink ref="C46" r:id="rId1" location="SPI_LOCK_PROTECTION_x0009_1,1006383,1006454,3,,CORE – SPI Lock Protection Test " display="CORE – SPI Lock Protection Test Official Signed Bios and LXX.XX series"/>
    <hyperlink ref="C47" r:id="rId2" location="BIOS_RECOVERY_DELIVERABLE" display="BIOS DTI"/>
    <hyperlink ref="C48" r:id="rId3" location="AMD_NIST_SPI_CTRLREG_RESTRICTED_CMD" display="BIOS Test Plan.doc - AMD_NIST_SPI_CTRLREG_RESTRICTED_CMD"/>
    <hyperlink ref="C49" r:id="rId4" location="INTEL_NIST_TC01_CONTROL_REG" display="BIOS Test Plan.doc - INTEL_NIST_TC01_CONTROL_REG"/>
    <hyperlink ref="C45" r:id="rId5" location="ALL_OS_CPQFLASH_CUST_REL_x0009_1,942892,942977,3,,CORE - FLASH HPBIOSUPDREC (Upgra" display="CORE - FLASH HPBIOSUPDREC (Upgrade From Last Customer-Rel BIOS,Official Signed BIOS)"/>
    <hyperlink ref="C53" r:id="rId6" location="OLE_LINK119_x0009_1,201568,201678,3,,Core Test Full Flash test with M" display="Core Test Full Flash test with MPM mode – BIOS Write Enable test  with MPM Unlock and Lock on Auto/Unlock/AC"/>
    <hyperlink ref="C44" r:id="rId7" location="SUP_OS_FLASH_BIOS_CHK_SETTINGS_x0009_1,767423,767504,3,,ACCEPTANCE – Flash BIOS and veri" display="ACCEPTANCE – Flash BIOS and verify Settings - WinPVT  (For Official Signed BIOS)"/>
    <hyperlink ref="C52" r:id="rId8" location="OLE_LINK188_x0009_1,204043,204161,3,,Core Test SPI SMRR – BIOS Write " display="Core Test SPI SMRR – BIOS Write Enable Bit and SMRR test after BIOS Lock (Code Freeze) with Unlock Auto mode (14.2.1)"/>
    <hyperlink ref="C50" r:id="rId9" location="OLE_LINK231_x0009_1,204846,204888,0,,_x000d_ACCEPTANCE – NIST- BIOS Control" display="ACCEPTANCE – NIST- BIOS Control Register"/>
  </hyperlinks>
  <pageMargins left="0.25" right="0.25" top="0.5" bottom="0.75" header="0.25" footer="0.25"/>
  <pageSetup scale="94" fitToHeight="100" orientation="landscape" r:id="rId10"/>
  <headerFooter alignWithMargins="0">
    <oddHeader>&amp;L&amp;8&amp;A&amp;R&amp;8&amp;F</oddHeader>
    <oddFooter>&amp;C&amp;"Arial,Bold"- HP CONFIDENTIAL -&amp;R&amp;8Page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125</vt:i4>
      </vt:variant>
    </vt:vector>
  </HeadingPairs>
  <TitlesOfParts>
    <vt:vector size="134" baseType="lpstr">
      <vt:lpstr>ProjectSettings</vt:lpstr>
      <vt:lpstr>ProjectConfigurations</vt:lpstr>
      <vt:lpstr>Guidelines</vt:lpstr>
      <vt:lpstr>ProjectSummary</vt:lpstr>
      <vt:lpstr>Release</vt:lpstr>
      <vt:lpstr>Acceptance (3 days)</vt:lpstr>
      <vt:lpstr>Full</vt:lpstr>
      <vt:lpstr>Core</vt:lpstr>
      <vt:lpstr>Official Signed Bios</vt:lpstr>
      <vt:lpstr>'Acceptance (3 days)'!_Toc357779360</vt:lpstr>
      <vt:lpstr>Release!_Toc357779617</vt:lpstr>
      <vt:lpstr>CFG_1394_</vt:lpstr>
      <vt:lpstr>CFG_32Bit_Os</vt:lpstr>
      <vt:lpstr>CFG_3D_Applications_</vt:lpstr>
      <vt:lpstr>CFG_64Bit_Os</vt:lpstr>
      <vt:lpstr>CFG_Bluetooth_Module</vt:lpstr>
      <vt:lpstr>CFG_Branding</vt:lpstr>
      <vt:lpstr>CFG_Bt_</vt:lpstr>
      <vt:lpstr>CFG_Camera_</vt:lpstr>
      <vt:lpstr>CFG_Camera_Vendor_</vt:lpstr>
      <vt:lpstr>CFG_Connection_Type_</vt:lpstr>
      <vt:lpstr>CFG_Country</vt:lpstr>
      <vt:lpstr>CFG_Country_Code</vt:lpstr>
      <vt:lpstr>CFG_Cradle_Multibay_Device_</vt:lpstr>
      <vt:lpstr>CFG_Cradle_Type_</vt:lpstr>
      <vt:lpstr>CFG_Dash_Code</vt:lpstr>
      <vt:lpstr>CFG_Deep_Sleep</vt:lpstr>
      <vt:lpstr>CFG_Device_List_</vt:lpstr>
      <vt:lpstr>CFG_Display_Panel_</vt:lpstr>
      <vt:lpstr>CFG_Dock_Bay_Device_</vt:lpstr>
      <vt:lpstr>CFG_Dock_Type_</vt:lpstr>
      <vt:lpstr>CFG_Environment</vt:lpstr>
      <vt:lpstr>CFG_Error_Type</vt:lpstr>
      <vt:lpstr>CFG_Expresscard_</vt:lpstr>
      <vt:lpstr>CFG_External_Display_</vt:lpstr>
      <vt:lpstr>CFG_Fingerprint_Reader</vt:lpstr>
      <vt:lpstr>CFG_Flash_Cache</vt:lpstr>
      <vt:lpstr>CFG_Flash_Media_</vt:lpstr>
      <vt:lpstr>CFG_Graphics</vt:lpstr>
      <vt:lpstr>CFG_Hard_Drive_</vt:lpstr>
      <vt:lpstr>CFG_Hp_Accessory</vt:lpstr>
      <vt:lpstr>CFG_Hp_Code</vt:lpstr>
      <vt:lpstr>CFG_Image_Number</vt:lpstr>
      <vt:lpstr>CFG_Image_Region</vt:lpstr>
      <vt:lpstr>CFG_Image_Revision</vt:lpstr>
      <vt:lpstr>CFG_Kbc_</vt:lpstr>
      <vt:lpstr>CFG_Keyboard</vt:lpstr>
      <vt:lpstr>CFG_Language</vt:lpstr>
      <vt:lpstr>CFG_Language_Code</vt:lpstr>
      <vt:lpstr>CFG_Material_List_Number_</vt:lpstr>
      <vt:lpstr>CFG_Me_Version_</vt:lpstr>
      <vt:lpstr>CFG_Media_Player_</vt:lpstr>
      <vt:lpstr>CFG_Media_Type_</vt:lpstr>
      <vt:lpstr>CFG_Memory_Slot_1_</vt:lpstr>
      <vt:lpstr>CFG_Memory_Slot_2_</vt:lpstr>
      <vt:lpstr>CFG_Memory_Slot_3_</vt:lpstr>
      <vt:lpstr>CFG_Memory_Slot_4_</vt:lpstr>
      <vt:lpstr>CFG_Modem</vt:lpstr>
      <vt:lpstr>CFG_Multi_Display_Configuration</vt:lpstr>
      <vt:lpstr>CFG_Os_Service_Pack</vt:lpstr>
      <vt:lpstr>CFG_Pcmcia_</vt:lpstr>
      <vt:lpstr>CFG_Platform</vt:lpstr>
      <vt:lpstr>CFG_Platform_Phase</vt:lpstr>
      <vt:lpstr>CFG_Power_Scheme</vt:lpstr>
      <vt:lpstr>CFG_Processor_</vt:lpstr>
      <vt:lpstr>CFG_Raid</vt:lpstr>
      <vt:lpstr>CFG_Rev_9.0A</vt:lpstr>
      <vt:lpstr>CFG_Sata_Device_Mode</vt:lpstr>
      <vt:lpstr>CFG_Screen_Saver</vt:lpstr>
      <vt:lpstr>CFG_Sed_Encryption_Status</vt:lpstr>
      <vt:lpstr>CFG_Sku_Number_</vt:lpstr>
      <vt:lpstr>CFG_Software</vt:lpstr>
      <vt:lpstr>CFG_Software_List_</vt:lpstr>
      <vt:lpstr>CFG_Switchable_Graphic_Mode</vt:lpstr>
      <vt:lpstr>CFG_System_Bios_</vt:lpstr>
      <vt:lpstr>CFG_System_Board</vt:lpstr>
      <vt:lpstr>CFG_Test_Case</vt:lpstr>
      <vt:lpstr>CFG_Test_Tool</vt:lpstr>
      <vt:lpstr>CFG_Tier</vt:lpstr>
      <vt:lpstr>CFG_Touchpad_Pointstick_Combo</vt:lpstr>
      <vt:lpstr>CFG_Tpm</vt:lpstr>
      <vt:lpstr>CFG_Tpm_Enabled</vt:lpstr>
      <vt:lpstr>CFG_Travel_Battery_</vt:lpstr>
      <vt:lpstr>CFG_Txt</vt:lpstr>
      <vt:lpstr>CFG_Unit_Battery_</vt:lpstr>
      <vt:lpstr>CFG_Unit_Id_</vt:lpstr>
      <vt:lpstr>CFG_Unit_Upgrade_Bay_Device_</vt:lpstr>
      <vt:lpstr>CFG_Usb_Devices_</vt:lpstr>
      <vt:lpstr>CFG_UserLabel_</vt:lpstr>
      <vt:lpstr>CFG_Video_Architecture</vt:lpstr>
      <vt:lpstr>CFG_Vpro_</vt:lpstr>
      <vt:lpstr>CFG_Vram</vt:lpstr>
      <vt:lpstr>CFG_Vt</vt:lpstr>
      <vt:lpstr>CFG_W.L.K._Version</vt:lpstr>
      <vt:lpstr>CFG_Website_</vt:lpstr>
      <vt:lpstr>CFG_Wired_Nic</vt:lpstr>
      <vt:lpstr>CFG_Wireless_Lan_</vt:lpstr>
      <vt:lpstr>CFG_Wireless_Lan_Status</vt:lpstr>
      <vt:lpstr>CFG_Wireless_Wan_</vt:lpstr>
      <vt:lpstr>Const_ACDC</vt:lpstr>
      <vt:lpstr>Const_EnableDisable</vt:lpstr>
      <vt:lpstr>Const_OnOff</vt:lpstr>
      <vt:lpstr>Const_YesNo</vt:lpstr>
      <vt:lpstr>Global_Config_AllSheets</vt:lpstr>
      <vt:lpstr>Global_Config_DelFocusOnNew</vt:lpstr>
      <vt:lpstr>Global_Config_NewCfgPermission</vt:lpstr>
      <vt:lpstr>Global_Config_NewCyclePermission</vt:lpstr>
      <vt:lpstr>Global_Config_SubMatrix</vt:lpstr>
      <vt:lpstr>Global_Cycle_Configurations</vt:lpstr>
      <vt:lpstr>Global_Cycle_Results</vt:lpstr>
      <vt:lpstr>Global_Environments</vt:lpstr>
      <vt:lpstr>Global_Languages</vt:lpstr>
      <vt:lpstr>Global_Matrix_Mode</vt:lpstr>
      <vt:lpstr>Global_TestInfo_Lock</vt:lpstr>
      <vt:lpstr>Global_TestInfo_Planned</vt:lpstr>
      <vt:lpstr>Global_TestResults_Consolidation</vt:lpstr>
      <vt:lpstr>Global_TestResults_ConsolidationBG</vt:lpstr>
      <vt:lpstr>Global_TestResults_Count</vt:lpstr>
      <vt:lpstr>Global_TestResults_EntryPermission</vt:lpstr>
      <vt:lpstr>Global_TestResults_Rollups</vt:lpstr>
      <vt:lpstr>Platform_Name</vt:lpstr>
      <vt:lpstr>ProjectSummary!Print_Titles</vt:lpstr>
      <vt:lpstr>Project_Dates</vt:lpstr>
      <vt:lpstr>Project_Default_Environment</vt:lpstr>
      <vt:lpstr>Project_Default_Language</vt:lpstr>
      <vt:lpstr>Project_Name</vt:lpstr>
      <vt:lpstr>Project_Phase</vt:lpstr>
      <vt:lpstr>Project_Phase_Selection</vt:lpstr>
      <vt:lpstr>Project_Type</vt:lpstr>
      <vt:lpstr>Project_Type_Selection</vt:lpstr>
      <vt:lpstr>Test_Group</vt:lpstr>
      <vt:lpstr>Testplan_Type</vt:lpstr>
      <vt:lpstr>Testplan_Type_Selection</vt:lpstr>
      <vt:lpstr>Testplan_Type_Version</vt:lpstr>
    </vt:vector>
  </TitlesOfParts>
  <Company>Hewlett-Packard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Caparas, Rolando</dc:creator>
  <cp:lastModifiedBy>Windy Tian/WKS/Wistron</cp:lastModifiedBy>
  <cp:lastPrinted>2006-04-25T15:07:11Z</cp:lastPrinted>
  <dcterms:created xsi:type="dcterms:W3CDTF">2006-02-14T17:35:43Z</dcterms:created>
  <dcterms:modified xsi:type="dcterms:W3CDTF">2013-11-13T08:52:13Z</dcterms:modified>
</cp:coreProperties>
</file>